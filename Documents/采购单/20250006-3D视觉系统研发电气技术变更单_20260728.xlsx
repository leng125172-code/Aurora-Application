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技术变更通知单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wangzongde</author>
  </authors>
  <commentList>
    <comment ref="A1" authorId="0">
      <text>
        <r>
          <rPr>
            <sz val="9"/>
            <rFont val="宋体"/>
            <charset val="134"/>
          </rPr>
          <t>wangzongde:
****：代表项目号后四位数字；
****：代表子工站编号
示例：8002_OP10装电机腔盖部件_技术变更单</t>
        </r>
      </text>
    </comment>
  </commentList>
</comments>
</file>

<file path=xl/sharedStrings.xml><?xml version="1.0" encoding="utf-8"?>
<sst xmlns="http://schemas.openxmlformats.org/spreadsheetml/2006/main" count="236" uniqueCount="132">
  <si>
    <t>0006_OP010 3D视觉系统V1.0研发 技术变更单</t>
  </si>
  <si>
    <t>文件编号：</t>
  </si>
  <si>
    <t xml:space="preserve"> 版本号：V1.10</t>
  </si>
  <si>
    <t>编制</t>
  </si>
  <si>
    <t>审阅</t>
  </si>
  <si>
    <t>核准</t>
  </si>
  <si>
    <t>确认</t>
  </si>
  <si>
    <t>承认</t>
  </si>
  <si>
    <t>批准</t>
  </si>
  <si>
    <t>到货时间</t>
  </si>
  <si>
    <t>序号</t>
  </si>
  <si>
    <t>变更记录</t>
  </si>
  <si>
    <t>编号/图号</t>
  </si>
  <si>
    <t>变更前内容</t>
  </si>
  <si>
    <t>变更后内容</t>
  </si>
  <si>
    <t>变更原因</t>
  </si>
  <si>
    <t>变更时间</t>
  </si>
  <si>
    <t>备注</t>
  </si>
  <si>
    <t>0006_OP010_043</t>
  </si>
  <si>
    <t>名称：内存  数量4个
型号：Radxa Cubie A7A
料号 9980000652031</t>
  </si>
  <si>
    <t>设计变更-功能优化</t>
  </si>
  <si>
    <t>https://item.taobao.com/item.htm?id=965727336507&amp;pisk=fYJn1T6S5B5QLGahcfXI1gIoLhlT9y65PUeRyTQr_N712Dg7eTAMcUbKVX6psaYwSwyKAX1Pre_9y8KpECwkc39KATnCdH65Uq3xHaxBATslmwXWK5-NchzPzMojARtdUq3xEgyXI4ByvCm0JWCN5g2Fzg8PQASl7MSPaU7N_iSzLTWyuZiqhOzBHDXGor5_wy4rwgQ2Yw-pvd-akZxFi82l-Mfh9H7gU8JMafkRgwlbXa6dRFIHPxwCL_AX2gYnKJ8kcdTGbEkuHw-6DICBLbeAi9_hwpW04v-GKwf2KeZzLE-M4ICMBmkfK97ew9t8m2KMKeKBI3Ez_9Xpssvh3g8L_Sk9v8sZ2dP7N6S1jZ3_eq8ht34V0cmgM31Ffi_xjcVS46S1XNiijSwhTGsB3&amp;spm=a1z10.3-c-s.w4002-25260064094.29.5ab53f9fea3dyf&amp;skuId=5905078516977</t>
  </si>
  <si>
    <t>0006_OP010_044</t>
  </si>
  <si>
    <t>名称 存储 数量4个
型号 Radxa eMMC Module
料号 9980000654222</t>
  </si>
  <si>
    <t>https://item.taobao.com/item.htm?app=chrome&amp;bxsign=scdaYW_UxY17KPAvxFAUMMjmr7UH7mtPcULoB8gTFEy5_s6KZQ-3e6qn6bmPJBr6_Gnmo7BQgvPCQksPym4fAJJG35R5roypOETqkSe2TJe0600MWn4Hw3Zrdq3B504mr5p&amp;cpp=1&amp;id=761392726165&amp;share_crt_v=1&amp;shareurl=true&amp;short_name=h.7G15kO1TV6TBd55&amp;sp_tk=MVB0aVU5Sm10MEk%3D&amp;spm=a2159r.13376460.0.0&amp;tbSocialPopKey=shareItem&amp;tk=1PtiU9Jmt0I&amp;un=742fb68170c9c41f1d47af8e7279b96e&amp;un_site=0&amp;ut_sk=1.aFJZxn5VMxYDANfqjI%2FGRJff_21646297_1770366102762.GoodsTitleURL.1&amp;wxsign=tbwJ4uFmJbXrIZhH3tJdYHiKDB_kat3a6BqrzK-HLdPjdByFCkiao2-CrvwaNXsxIZ4S0P5_EE9dtT--IwWo-XB4grKY144TnFsd4DXd-EAJrQgXniBx0OP2SIm-Li5sh3K</t>
  </si>
  <si>
    <t>0006_OP010_045</t>
  </si>
  <si>
    <t>名称 读卡器 数量1个
型号 eMMC/UFS Module Reader 
料号 9980000652042</t>
  </si>
  <si>
    <t>https://item.taobao.com/item.htm?app=chrome&amp;bxsign=scd4T-hpbmQoFL5blhl9_lqO0X2pZTXF5dGblKc5K2Rg9oouGCrBwiUiGqCz1w-_kD7z1Vxsy-KYeQK-_t1tTBlr_oUsvhf7SPF_5r7kECDGoVMPOGnJqOidanmoqP0Q9KQ&amp;cpp=1&amp;id=927792496359&amp;share_crt_v=1&amp;shareurl=true&amp;short_name=h.7GLfGtb4qHJ3uVE&amp;sp_tk=N2gzWVU5SnRRRmQ%3D&amp;spm=a2159r.13376460.0.0&amp;tbSocialPopKey=shareItem&amp;tk=7h3YU9JtQFd&amp;un=742fb68170c9c41f1d47af8e7279b96e&amp;un_site=0&amp;ut_sk=1.aFJZxn5VMxYDANfqjI%2FGRJff_21646297_1770366102762.GoodsTitleURL.1&amp;wxsign=tbwje4rLWx1oCYQgGvJ7uS89V1LaQR2BFsirFCsbyl16XdPDO8nfp0Ecrl7ekB83oz7qJSDxNKi3yOPhXtUF-O6uvLDGkCJLhV9r4lR58Tx5ncfIQJAMr_xyndRnTAv1EOB&amp;skuId=5975999127938</t>
  </si>
  <si>
    <t>0006_OP010_046</t>
  </si>
  <si>
    <t>名称 GMAX3405摄像头模组 数量4套
型号GMAX3405
料号 9980000652044</t>
  </si>
  <si>
    <t>定制产品，电话:13510349388</t>
  </si>
  <si>
    <t>0006_OP010_047</t>
  </si>
  <si>
    <t>名称 FPC软排线 数量10个
型号 FPC软排线
料号 9980000654225</t>
  </si>
  <si>
    <t>https://detail.tmall.com/item.htm?app=chrome&amp;bxsign=scdS1Qgs7MsdREw36OglNPTCz9MfPYMxZhY8eFTM1Hkt6Q2bDPebhEi0A3CGhI86W1oHh4YzCuXx5O4eRMflQRJsKXGGzi9mcI71PMP73arSorOwrV7YWZDnGQRlU78IvH7&amp;cpp=1&amp;id=616903112704&amp;share_crt_v=1&amp;shareurl=true&amp;short_name=h.7GoSCPSq0WSnbRJ&amp;sp_tk=dHBObVU5cUVEQ2E%3D&amp;spm=a2159r.13376460.0.0&amp;tbSocialPopKey=shareItem&amp;tk=tpNmU9qEDCa&amp;un=742fb68170c9c41f1d47af8e7279b96e&amp;un_site=0&amp;ut_sk=1.aFJZxn5VMxYDANfqjI%2FGRJff_21646297_1770366102762.GoodsTitleURL.1&amp;wxsign=tbw2MU_phux3hrqjhvZE-vZflIUVba87hmqvkYbWViPWXDZ_oOgwpjhqMvDK685z_qGvR8SuYI8Una1NYjGvkmjMb-iQtge5s306DqhHX-2WtjFw2uPfMO4aXZJmaLxqEzk&amp;skuId=4523731970400</t>
  </si>
  <si>
    <t>0006_OP010_048</t>
  </si>
  <si>
    <t>名称 工业相机 数量 2个
型号 Libra 3405UC
料号 9980000658009</t>
  </si>
  <si>
    <t>0006_OP010_049</t>
  </si>
  <si>
    <t>名称 结构光发生器 数量 1台
型号 TJ25GD
料号 9980000658010</t>
  </si>
  <si>
    <t>0006_OP010_050</t>
  </si>
  <si>
    <t>名称 镜头 数量 2个
型号 MVL-MF2528M-10MPE
料号 9980000658011</t>
  </si>
  <si>
    <t>0006_OP010_051</t>
  </si>
  <si>
    <t>名称 镜头 数量 2个
型号 MVL-MF3528M-10MPE
料号 9980000658014</t>
  </si>
  <si>
    <t>0006_OP010_052</t>
  </si>
  <si>
    <t>名称 主板 数量 1个
型号 CX3588-G
料号 9980000658016</t>
  </si>
  <si>
    <t>0006_OP010_053</t>
  </si>
  <si>
    <t>名称 USB转485 数量 1个
型号 ZS-USB-RS485-4-S
料号 9980000658017</t>
  </si>
  <si>
    <t>https://item.taobao.com/item.htm?id=803132423141&amp;spm=a21m98.27004841</t>
  </si>
  <si>
    <t>0006_OP010_054</t>
  </si>
  <si>
    <t>名称 标定板 数量 1个
型号 棋盘格靶标
料号 9980000658018</t>
  </si>
  <si>
    <t>定制产品，电话:18662355258</t>
  </si>
  <si>
    <t>0006_OP010_055</t>
  </si>
  <si>
    <t>名称 标定板 数量 1个
型号 圆点靶标
料号 9980000658019</t>
  </si>
  <si>
    <t>0006_OP010_056</t>
  </si>
  <si>
    <t>名称 电源连接线 数量 30个
型号 XH 2.54mm-4P
料号 9980000658021</t>
  </si>
  <si>
    <t>https://item.taobao.com/item.htm?app=chrome&amp;bxsign=scdlQNrOSOxq3WZ_JNCSYaZf9jOl4_q98jlRdGVE8Cv6BJYNe5aeH_h9JQYdHJ_qs3XOCJqXv7jgNqT3O6jAZ9e1IIhl6LKe_hySuvLCEc9zYmxzrGd2BDX76WIpxzdyK2L&amp;cpp=1&amp;id=583793893605&amp;price=0.2&amp;shareUniqueId=35192975026&amp;share_crt_v=1&amp;shareurl=true&amp;short_name=h.ia2qaCOxwxZRGSL&amp;sourceType=item&amp;sp_tk=QmF1b1VxSWRHWjc%3D&amp;spm=a2159r.13376460.0.0&amp;suid=263ee345-8ea0-43c7-830d-17390cc8927b&amp;tbSocialPopKey=shareItem&amp;tk=BauoUqIdGZ7&amp;un=742fb68170c9c41f1d47af8e7279b96e&amp;un_site=0&amp;ut_sk=1.aZzwSuciuFoDAKZgcMU250GX_21646297_1772081231731.Copy.1&amp;wxsign=tbwgM2ZnoKRHEXYmn70U7U__6AyGu8v0iMxpRAYkps24Q9crWQHRtTj0QAIuIXvkxknJWVIDnxRtXJMWJiQ8LS8Wi4AMpxWOVJRcj1wAJbwCFVDWSKv0uHfbmE3mhbWZsj4</t>
  </si>
  <si>
    <t>0006_OP010_057</t>
  </si>
  <si>
    <t>名称 电源 数量 1个
型号 H-PF300
料号 9980000658022</t>
  </si>
  <si>
    <t>https://item.taobao.com/item.htm?app=chrome&amp;bxsign=scd9-Ys-c6ZSUNMZc92VTPsBiqD8O8nQYAMUhffHRSg8J2L6beIkrdAqvJj5khP0dE9hO0WTFaR6Wj5wJNjGARBqyc6Q-WZLXtnwptqFYQ3SYJcWm8joloqeQAF76IrxTUk&amp;cpp=1&amp;h5_spm=a-tb-item.b-tb-item&amp;id=703058753911&amp;share_crt_v=1&amp;shareurl=true&amp;short_name=h.i04VNEyCbFvWubr&amp;sp_tk=dWNuaFVxSWpJeDQ%3D&amp;spm=a2159r.13376460.0.0&amp;tbSocialPopKey=shareItem&amp;tk=ucnhUqIjIx4&amp;un=742fb68170c9c41f1d47af8e7279b96e&amp;un_site=0&amp;ut_sk=1.aZzwSuciuFoDAKZgcMU250GX_21646297_1772081231731.TaoPassword-WeiXin.1&amp;wxsign=tbwoV0fP8WwY7w20Uez1J7P5fMzTlEJk2VSAMVMnXMsTKT5_eXTEwxwIzXJ86-ufvFiI9p-y_Td1SrD5sUjhOk2Zr928EypsfC8sFONuZ76a5h6AUrIDALIw1DAcEDFsaZx&amp;x-ssr=true</t>
  </si>
  <si>
    <t>0006_OP010_058</t>
  </si>
  <si>
    <t>名称 端子台 数量 1个
型号 HL-PBB-2-6-SP
料号 9980000658023</t>
  </si>
  <si>
    <t>https://item.taobao.com/item.htm?abbucket=3&amp;id=630734584468&amp;mi_id=0000OcmZ-2wJKZYRLPqCEI1g1S_gOJ1dEdcqpJ-6vn-MC2o&amp;ns=1&amp;priceTId=2147837317720821582153904e18f2&amp;spm=a21n57.1.hoverItem.13&amp;utparam=%7B%22aplus_abtest%22%3A%22857d03c9871e5b2b71501890bf94cbb1%22%7D&amp;xxc=taobaoSearch&amp;sku_properties=-1%3A-2</t>
  </si>
  <si>
    <t>0006_OP010_059</t>
  </si>
  <si>
    <t>名称 连接线 数量 50个
型号 PH2.0 4P
料号 9980000658024</t>
  </si>
  <si>
    <t>https://item.taobao.com/item.htm?ali_refid=a3_430582_1006%3A1106518385%3AN%3Au1UBpBGjnZWCVyl0O%2Bv8QcjEnkybG3us%3A41639aa95e9c23aa0470744254b63272&amp;ali_trackid=1_41639aa95e9c23aa0470744254b63272&amp;id=567952159835&amp;mi_id=0000KeqmNSsD4H24mAwYseCaesCHR69gvqmkNbKrAaMGOa8&amp;mm_sceneid=1_0_45268066_0&amp;priceTId=2147806a17720878437717316e1963&amp;skuId=4206983090604&amp;spm=a21n57.1.hoverItem.1&amp;utparam=%7B%22aplus_abtest%22%3A%2233fbf6e6fdffafe36ee81b8e1c97131c%22%7D&amp;xxc=ad_ztc</t>
  </si>
  <si>
    <t>0006_OP010_060</t>
  </si>
  <si>
    <t>名称 散热器 数量 4个
型号 Radxa 6540B
料号 9980000658026</t>
  </si>
  <si>
    <t>https://item.taobao.com/item.htm?id=789769868628</t>
  </si>
  <si>
    <t>0006_OP010_061</t>
  </si>
  <si>
    <t>名称 端子台 数量 1个
型号 HR4C06R
料号 9980000658030</t>
  </si>
  <si>
    <t>https://item.taobao.com/item.htm?abbucket=3&amp;id=1005819222604&amp;mi_id=00004ajQwC3AKcO8-QlaurgsdyrzSbOWUH00DYkrUMMdTjY&amp;ns=1&amp;priceTId=2150414617720911120964134e19dd&amp;spm=a21n57.1.hoverItem.22&amp;utparam=%7B%22aplus_abtest%22%3A%22d4117b8ab4e2c4cced38c5048d1a49be%22%7D&amp;xxc=taobaoSearch</t>
  </si>
  <si>
    <t>名称 主板 数量 1个
型号 CX3588-G-S
料号 9980000670860</t>
  </si>
  <si>
    <t>原型号缺货</t>
  </si>
  <si>
    <t>借样转销售</t>
  </si>
  <si>
    <t>名称：内存  数量4个
型号：Radxa Cubie A7A 6GB
料号 9980000652031</t>
  </si>
  <si>
    <t>名称：内存  数量4个
型号：Radxa Cubie A7A 12GB
料号 9980000652031</t>
  </si>
  <si>
    <t>0006_OP010_062</t>
  </si>
  <si>
    <t>名称：磁显卡  数量1个
型号：200mm*200mm塑封板
料号 9980000678713</t>
  </si>
  <si>
    <t>https://item.taobao.com/item.htm?from=cart&amp;id=631926212362&amp;mi_id=0000bzHlHXa4uvlUHLf9ZtEfGxnpirVSI57DzlDFMP53KhE&amp;skuId=5083632269169&amp;spm=a1z0d.6639537%2F202410.item.d631926212362.1b1d7484WJK0rq&amp;upStreamPrice=21100</t>
  </si>
  <si>
    <t>0006_OP010_063</t>
  </si>
  <si>
    <t>名称：偏振片  数量2个
型号：M27mm*P0.5线偏振镜
料号 9980000715935</t>
  </si>
  <si>
    <t>https://item.taobao.com/item.htm?abbucket=3&amp;id=667339807480&amp;mi_id=0000dRsHVRlq1cSIGUEo5_RB84aZS5YqLsiYltRvVYr1xGE&amp;ns=1&amp;priceTId=2147825a17841630698231271e0f38&amp;skuId=5041628658578&amp;spm=a21n57.1.hoverItem.3&amp;utparam=%7B%22aplus_abtest%22%3A%22570948bb83f52a025bfa9b4f4968a9db%22%7D&amp;xxc=taobaoSearch</t>
  </si>
  <si>
    <t>0006_OP010_064</t>
  </si>
  <si>
    <t>名称：标定板  数量1个
型号：11*11 圆点标定板
料号 9980000715938</t>
  </si>
  <si>
    <t>https://dfilm.taobao.com/shop/view_shop.htm?shop_id=423724622&amp;spm=a21m98.27004841</t>
  </si>
  <si>
    <t>项目名称</t>
  </si>
  <si>
    <t>3D视觉系统V1.0</t>
  </si>
  <si>
    <t>项目编号</t>
  </si>
  <si>
    <t>T024-20250006</t>
  </si>
  <si>
    <t>子站名称</t>
  </si>
  <si>
    <t>子站编号</t>
  </si>
  <si>
    <t>T024-20250006-01-01</t>
  </si>
  <si>
    <t xml:space="preserve">固定资产总站 </t>
  </si>
  <si>
    <t>固定资产子站</t>
  </si>
  <si>
    <t>自制设备编码总站</t>
  </si>
  <si>
    <t>自制设备编码子站</t>
  </si>
  <si>
    <t>总张数：  1  张</t>
  </si>
  <si>
    <t>浙江三花汽车零部件有限公司</t>
  </si>
  <si>
    <t>共1 页，第  1 页</t>
  </si>
  <si>
    <t>工业相机</t>
  </si>
  <si>
    <t xml:space="preserve"> 数量 </t>
  </si>
  <si>
    <t>个</t>
  </si>
  <si>
    <t>型号</t>
  </si>
  <si>
    <t>Libra 3405UC</t>
  </si>
  <si>
    <t>料号</t>
  </si>
  <si>
    <t xml:space="preserve">结构光发生器 </t>
  </si>
  <si>
    <t xml:space="preserve">台 </t>
  </si>
  <si>
    <t xml:space="preserve">型号 </t>
  </si>
  <si>
    <t xml:space="preserve">TJ25GD </t>
  </si>
  <si>
    <t xml:space="preserve">料号 </t>
  </si>
  <si>
    <t>镜头</t>
  </si>
  <si>
    <t xml:space="preserve">个 </t>
  </si>
  <si>
    <t>MVL-MF2528M-10MPE</t>
  </si>
  <si>
    <t xml:space="preserve"> 料号 </t>
  </si>
  <si>
    <t>MVL-MF3528M-10MPE</t>
  </si>
  <si>
    <t>主板</t>
  </si>
  <si>
    <t>CX3588-G</t>
  </si>
  <si>
    <t>USB转485</t>
  </si>
  <si>
    <t>ZS-USB-RS485-4-S</t>
  </si>
  <si>
    <t>标定板</t>
  </si>
  <si>
    <t>棋盘格靶标</t>
  </si>
  <si>
    <t>圆点靶标</t>
  </si>
  <si>
    <t>电源连接线</t>
  </si>
  <si>
    <t>XH 2.54mm-4P</t>
  </si>
  <si>
    <t>电源</t>
  </si>
  <si>
    <t>H-PF300</t>
  </si>
  <si>
    <t>端子台</t>
  </si>
  <si>
    <t>HL-PBB-2-6-SP</t>
  </si>
  <si>
    <t>连接线</t>
  </si>
  <si>
    <t>PH2.0 4P</t>
  </si>
  <si>
    <t>散热器</t>
  </si>
  <si>
    <t>Radxa 6540B</t>
  </si>
  <si>
    <t>HR4C06R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</si>
</sst>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00"/>
  </numFmts>
  <fonts count="34">
    <font>
      <sz val="11"/>
      <color theme="1"/>
      <name val="等线"/>
      <charset val="134"/>
      <scheme val="minor"/>
    </font>
    <font>
      <sz val="10"/>
      <name val="等线"/>
      <charset val="134"/>
      <scheme val="minor"/>
    </font>
    <font>
      <sz val="10"/>
      <name val="宋体"/>
      <charset val="134"/>
    </font>
    <font>
      <sz val="14"/>
      <color theme="1"/>
      <name val="等线"/>
      <charset val="134"/>
      <scheme val="minor"/>
    </font>
    <font>
      <sz val="24"/>
      <color theme="1"/>
      <name val="宋体"/>
      <charset val="134"/>
    </font>
    <font>
      <sz val="14"/>
      <color theme="1"/>
      <name val="宋体"/>
      <charset val="134"/>
    </font>
    <font>
      <sz val="10"/>
      <color theme="1"/>
      <name val="宋体"/>
      <charset val="134"/>
    </font>
    <font>
      <sz val="12"/>
      <color theme="1"/>
      <name val="等线"/>
      <charset val="134"/>
      <scheme val="minor"/>
    </font>
    <font>
      <u/>
      <sz val="11"/>
      <color rgb="FF800080"/>
      <name val="等线"/>
      <charset val="134"/>
      <scheme val="minor"/>
    </font>
    <font>
      <u/>
      <sz val="11"/>
      <color theme="10"/>
      <name val="等线"/>
      <charset val="134"/>
      <scheme val="minor"/>
    </font>
    <font>
      <sz val="14"/>
      <color rgb="FFFF0000"/>
      <name val="宋体"/>
      <charset val="134"/>
    </font>
    <font>
      <u/>
      <sz val="11"/>
      <color rgb="FF0000FF"/>
      <name val="等线"/>
      <charset val="0"/>
      <scheme val="minor"/>
    </font>
    <font>
      <sz val="14"/>
      <name val="宋体"/>
      <charset val="134"/>
    </font>
    <font>
      <sz val="14"/>
      <name val="等线"/>
      <charset val="134"/>
      <scheme val="minor"/>
    </font>
    <font>
      <sz val="16"/>
      <color theme="1"/>
      <name val="宋体"/>
      <charset val="134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3" borderId="16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4" borderId="19" applyNumberFormat="0" applyAlignment="0" applyProtection="0">
      <alignment vertical="center"/>
    </xf>
    <xf numFmtId="0" fontId="23" fillId="5" borderId="20" applyNumberFormat="0" applyAlignment="0" applyProtection="0">
      <alignment vertical="center"/>
    </xf>
    <xf numFmtId="0" fontId="24" fillId="5" borderId="19" applyNumberFormat="0" applyAlignment="0" applyProtection="0">
      <alignment vertical="center"/>
    </xf>
    <xf numFmtId="0" fontId="25" fillId="6" borderId="21" applyNumberFormat="0" applyAlignment="0" applyProtection="0">
      <alignment vertical="center"/>
    </xf>
    <xf numFmtId="0" fontId="26" fillId="0" borderId="22" applyNumberFormat="0" applyFill="0" applyAlignment="0" applyProtection="0">
      <alignment vertical="center"/>
    </xf>
    <xf numFmtId="0" fontId="27" fillId="0" borderId="23" applyNumberFormat="0" applyFill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</cellStyleXfs>
  <cellXfs count="6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76" fontId="2" fillId="0" borderId="3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3" fillId="0" borderId="0" xfId="0" applyFont="1"/>
    <xf numFmtId="0" fontId="0" fillId="0" borderId="0" xfId="0" applyAlignment="1">
      <alignment horizontal="center"/>
    </xf>
    <xf numFmtId="0" fontId="4" fillId="0" borderId="5" xfId="0" applyFont="1" applyBorder="1" applyAlignment="1">
      <alignment horizontal="center"/>
    </xf>
    <xf numFmtId="0" fontId="3" fillId="0" borderId="3" xfId="0" applyFont="1" applyBorder="1" applyAlignment="1">
      <alignment horizontal="left" vertical="top"/>
    </xf>
    <xf numFmtId="0" fontId="3" fillId="0" borderId="6" xfId="0" applyFont="1" applyBorder="1" applyAlignment="1">
      <alignment horizontal="center" vertical="top"/>
    </xf>
    <xf numFmtId="0" fontId="3" fillId="0" borderId="7" xfId="0" applyFont="1" applyBorder="1" applyAlignment="1">
      <alignment horizontal="center" vertical="top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top"/>
    </xf>
    <xf numFmtId="0" fontId="3" fillId="0" borderId="1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14" fontId="5" fillId="0" borderId="6" xfId="0" applyNumberFormat="1" applyFont="1" applyBorder="1" applyAlignment="1">
      <alignment horizontal="center" vertical="center"/>
    </xf>
    <xf numFmtId="0" fontId="8" fillId="0" borderId="13" xfId="6" applyFont="1" applyBorder="1" applyAlignment="1">
      <alignment vertical="center" wrapText="1"/>
    </xf>
    <xf numFmtId="0" fontId="9" fillId="0" borderId="13" xfId="6" applyFont="1" applyBorder="1" applyAlignment="1">
      <alignment vertical="center" wrapText="1"/>
    </xf>
    <xf numFmtId="0" fontId="3" fillId="0" borderId="1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8" fillId="0" borderId="3" xfId="6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0" fontId="11" fillId="0" borderId="3" xfId="6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/>
    </xf>
    <xf numFmtId="14" fontId="12" fillId="0" borderId="6" xfId="0" applyNumberFormat="1" applyFont="1" applyBorder="1" applyAlignment="1">
      <alignment horizontal="center" vertical="center"/>
    </xf>
    <xf numFmtId="14" fontId="12" fillId="0" borderId="7" xfId="0" applyNumberFormat="1" applyFont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49" fontId="0" fillId="0" borderId="12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336550</xdr:colOff>
      <xdr:row>4</xdr:row>
      <xdr:rowOff>92710</xdr:rowOff>
    </xdr:from>
    <xdr:to>
      <xdr:col>1</xdr:col>
      <xdr:colOff>615950</xdr:colOff>
      <xdr:row>4</xdr:row>
      <xdr:rowOff>495300</xdr:rowOff>
    </xdr:to>
    <xdr:sp>
      <xdr:nvSpPr>
        <xdr:cNvPr id="2" name="等腰三角形 1"/>
        <xdr:cNvSpPr/>
      </xdr:nvSpPr>
      <xdr:spPr>
        <a:xfrm>
          <a:off x="1022350" y="1484630"/>
          <a:ext cx="279400" cy="402590"/>
        </a:xfrm>
        <a:prstGeom prst="triangle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altLang="zh-C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325120</xdr:colOff>
      <xdr:row>5</xdr:row>
      <xdr:rowOff>69850</xdr:rowOff>
    </xdr:from>
    <xdr:to>
      <xdr:col>1</xdr:col>
      <xdr:colOff>604520</xdr:colOff>
      <xdr:row>5</xdr:row>
      <xdr:rowOff>472440</xdr:rowOff>
    </xdr:to>
    <xdr:sp>
      <xdr:nvSpPr>
        <xdr:cNvPr id="3" name="等腰三角形 2"/>
        <xdr:cNvSpPr/>
      </xdr:nvSpPr>
      <xdr:spPr>
        <a:xfrm>
          <a:off x="1010920" y="2084070"/>
          <a:ext cx="279400" cy="402590"/>
        </a:xfrm>
        <a:prstGeom prst="triangle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altLang="zh-C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325120</xdr:colOff>
      <xdr:row>6</xdr:row>
      <xdr:rowOff>70485</xdr:rowOff>
    </xdr:from>
    <xdr:to>
      <xdr:col>1</xdr:col>
      <xdr:colOff>604520</xdr:colOff>
      <xdr:row>6</xdr:row>
      <xdr:rowOff>473075</xdr:rowOff>
    </xdr:to>
    <xdr:sp>
      <xdr:nvSpPr>
        <xdr:cNvPr id="5" name="等腰三角形 4"/>
        <xdr:cNvSpPr/>
      </xdr:nvSpPr>
      <xdr:spPr>
        <a:xfrm>
          <a:off x="1010920" y="2707005"/>
          <a:ext cx="279400" cy="402590"/>
        </a:xfrm>
        <a:prstGeom prst="triangle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altLang="zh-C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322580</xdr:colOff>
      <xdr:row>7</xdr:row>
      <xdr:rowOff>74295</xdr:rowOff>
    </xdr:from>
    <xdr:to>
      <xdr:col>1</xdr:col>
      <xdr:colOff>601980</xdr:colOff>
      <xdr:row>7</xdr:row>
      <xdr:rowOff>476885</xdr:rowOff>
    </xdr:to>
    <xdr:sp>
      <xdr:nvSpPr>
        <xdr:cNvPr id="6" name="等腰三角形 5"/>
        <xdr:cNvSpPr/>
      </xdr:nvSpPr>
      <xdr:spPr>
        <a:xfrm>
          <a:off x="1008380" y="3333115"/>
          <a:ext cx="279400" cy="402590"/>
        </a:xfrm>
        <a:prstGeom prst="triangle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altLang="zh-C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304800</xdr:colOff>
      <xdr:row>8</xdr:row>
      <xdr:rowOff>60960</xdr:rowOff>
    </xdr:from>
    <xdr:to>
      <xdr:col>1</xdr:col>
      <xdr:colOff>584200</xdr:colOff>
      <xdr:row>8</xdr:row>
      <xdr:rowOff>463550</xdr:rowOff>
    </xdr:to>
    <xdr:sp>
      <xdr:nvSpPr>
        <xdr:cNvPr id="7" name="等腰三角形 6"/>
        <xdr:cNvSpPr/>
      </xdr:nvSpPr>
      <xdr:spPr>
        <a:xfrm>
          <a:off x="990600" y="3942080"/>
          <a:ext cx="279400" cy="402590"/>
        </a:xfrm>
        <a:prstGeom prst="triangle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altLang="zh-C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349250</xdr:colOff>
      <xdr:row>9</xdr:row>
      <xdr:rowOff>85725</xdr:rowOff>
    </xdr:from>
    <xdr:to>
      <xdr:col>1</xdr:col>
      <xdr:colOff>628650</xdr:colOff>
      <xdr:row>9</xdr:row>
      <xdr:rowOff>488315</xdr:rowOff>
    </xdr:to>
    <xdr:sp>
      <xdr:nvSpPr>
        <xdr:cNvPr id="12" name="等腰三角形 11"/>
        <xdr:cNvSpPr/>
      </xdr:nvSpPr>
      <xdr:spPr>
        <a:xfrm>
          <a:off x="1035050" y="4589145"/>
          <a:ext cx="279400" cy="402590"/>
        </a:xfrm>
        <a:prstGeom prst="triangle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altLang="zh-C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337820</xdr:colOff>
      <xdr:row>10</xdr:row>
      <xdr:rowOff>63500</xdr:rowOff>
    </xdr:from>
    <xdr:to>
      <xdr:col>1</xdr:col>
      <xdr:colOff>617220</xdr:colOff>
      <xdr:row>10</xdr:row>
      <xdr:rowOff>466090</xdr:rowOff>
    </xdr:to>
    <xdr:sp>
      <xdr:nvSpPr>
        <xdr:cNvPr id="13" name="等腰三角形 12"/>
        <xdr:cNvSpPr/>
      </xdr:nvSpPr>
      <xdr:spPr>
        <a:xfrm>
          <a:off x="1023620" y="5189220"/>
          <a:ext cx="279400" cy="402590"/>
        </a:xfrm>
        <a:prstGeom prst="triangle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altLang="zh-C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337820</xdr:colOff>
      <xdr:row>11</xdr:row>
      <xdr:rowOff>64135</xdr:rowOff>
    </xdr:from>
    <xdr:to>
      <xdr:col>1</xdr:col>
      <xdr:colOff>617220</xdr:colOff>
      <xdr:row>11</xdr:row>
      <xdr:rowOff>466725</xdr:rowOff>
    </xdr:to>
    <xdr:sp>
      <xdr:nvSpPr>
        <xdr:cNvPr id="14" name="等腰三角形 13"/>
        <xdr:cNvSpPr/>
      </xdr:nvSpPr>
      <xdr:spPr>
        <a:xfrm>
          <a:off x="1023620" y="5812155"/>
          <a:ext cx="279400" cy="402590"/>
        </a:xfrm>
        <a:prstGeom prst="triangle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altLang="zh-C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335280</xdr:colOff>
      <xdr:row>12</xdr:row>
      <xdr:rowOff>67310</xdr:rowOff>
    </xdr:from>
    <xdr:to>
      <xdr:col>1</xdr:col>
      <xdr:colOff>614680</xdr:colOff>
      <xdr:row>12</xdr:row>
      <xdr:rowOff>469900</xdr:rowOff>
    </xdr:to>
    <xdr:sp>
      <xdr:nvSpPr>
        <xdr:cNvPr id="15" name="等腰三角形 14"/>
        <xdr:cNvSpPr/>
      </xdr:nvSpPr>
      <xdr:spPr>
        <a:xfrm>
          <a:off x="1021080" y="6437630"/>
          <a:ext cx="279400" cy="402590"/>
        </a:xfrm>
        <a:prstGeom prst="triangle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altLang="zh-C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313690</xdr:colOff>
      <xdr:row>13</xdr:row>
      <xdr:rowOff>54610</xdr:rowOff>
    </xdr:from>
    <xdr:to>
      <xdr:col>1</xdr:col>
      <xdr:colOff>593090</xdr:colOff>
      <xdr:row>13</xdr:row>
      <xdr:rowOff>457200</xdr:rowOff>
    </xdr:to>
    <xdr:sp>
      <xdr:nvSpPr>
        <xdr:cNvPr id="16" name="等腰三角形 15"/>
        <xdr:cNvSpPr/>
      </xdr:nvSpPr>
      <xdr:spPr>
        <a:xfrm>
          <a:off x="999490" y="7047230"/>
          <a:ext cx="279400" cy="402590"/>
        </a:xfrm>
        <a:prstGeom prst="triangle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altLang="zh-C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349250</xdr:colOff>
      <xdr:row>14</xdr:row>
      <xdr:rowOff>86360</xdr:rowOff>
    </xdr:from>
    <xdr:to>
      <xdr:col>1</xdr:col>
      <xdr:colOff>628650</xdr:colOff>
      <xdr:row>14</xdr:row>
      <xdr:rowOff>488950</xdr:rowOff>
    </xdr:to>
    <xdr:sp>
      <xdr:nvSpPr>
        <xdr:cNvPr id="17" name="等腰三角形 16"/>
        <xdr:cNvSpPr/>
      </xdr:nvSpPr>
      <xdr:spPr>
        <a:xfrm>
          <a:off x="1035050" y="7701280"/>
          <a:ext cx="279400" cy="402590"/>
        </a:xfrm>
        <a:prstGeom prst="triangle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altLang="zh-C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337820</xdr:colOff>
      <xdr:row>15</xdr:row>
      <xdr:rowOff>63500</xdr:rowOff>
    </xdr:from>
    <xdr:to>
      <xdr:col>1</xdr:col>
      <xdr:colOff>617220</xdr:colOff>
      <xdr:row>15</xdr:row>
      <xdr:rowOff>466090</xdr:rowOff>
    </xdr:to>
    <xdr:sp>
      <xdr:nvSpPr>
        <xdr:cNvPr id="18" name="等腰三角形 17"/>
        <xdr:cNvSpPr/>
      </xdr:nvSpPr>
      <xdr:spPr>
        <a:xfrm>
          <a:off x="1023620" y="8300720"/>
          <a:ext cx="279400" cy="402590"/>
        </a:xfrm>
        <a:prstGeom prst="triangle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altLang="zh-C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337820</xdr:colOff>
      <xdr:row>16</xdr:row>
      <xdr:rowOff>63500</xdr:rowOff>
    </xdr:from>
    <xdr:to>
      <xdr:col>1</xdr:col>
      <xdr:colOff>617220</xdr:colOff>
      <xdr:row>16</xdr:row>
      <xdr:rowOff>466090</xdr:rowOff>
    </xdr:to>
    <xdr:sp>
      <xdr:nvSpPr>
        <xdr:cNvPr id="19" name="等腰三角形 18"/>
        <xdr:cNvSpPr/>
      </xdr:nvSpPr>
      <xdr:spPr>
        <a:xfrm>
          <a:off x="1023620" y="8923020"/>
          <a:ext cx="279400" cy="402590"/>
        </a:xfrm>
        <a:prstGeom prst="triangle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altLang="zh-C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335280</xdr:colOff>
      <xdr:row>17</xdr:row>
      <xdr:rowOff>67945</xdr:rowOff>
    </xdr:from>
    <xdr:to>
      <xdr:col>1</xdr:col>
      <xdr:colOff>614680</xdr:colOff>
      <xdr:row>17</xdr:row>
      <xdr:rowOff>470535</xdr:rowOff>
    </xdr:to>
    <xdr:sp>
      <xdr:nvSpPr>
        <xdr:cNvPr id="20" name="等腰三角形 19"/>
        <xdr:cNvSpPr/>
      </xdr:nvSpPr>
      <xdr:spPr>
        <a:xfrm>
          <a:off x="1021080" y="9549765"/>
          <a:ext cx="279400" cy="402590"/>
        </a:xfrm>
        <a:prstGeom prst="triangle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altLang="zh-C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313690</xdr:colOff>
      <xdr:row>18</xdr:row>
      <xdr:rowOff>54610</xdr:rowOff>
    </xdr:from>
    <xdr:to>
      <xdr:col>1</xdr:col>
      <xdr:colOff>593090</xdr:colOff>
      <xdr:row>18</xdr:row>
      <xdr:rowOff>457200</xdr:rowOff>
    </xdr:to>
    <xdr:sp>
      <xdr:nvSpPr>
        <xdr:cNvPr id="21" name="等腰三角形 20"/>
        <xdr:cNvSpPr/>
      </xdr:nvSpPr>
      <xdr:spPr>
        <a:xfrm>
          <a:off x="999490" y="10158730"/>
          <a:ext cx="279400" cy="402590"/>
        </a:xfrm>
        <a:prstGeom prst="triangle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altLang="zh-C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349250</xdr:colOff>
      <xdr:row>19</xdr:row>
      <xdr:rowOff>85725</xdr:rowOff>
    </xdr:from>
    <xdr:to>
      <xdr:col>1</xdr:col>
      <xdr:colOff>628650</xdr:colOff>
      <xdr:row>19</xdr:row>
      <xdr:rowOff>488315</xdr:rowOff>
    </xdr:to>
    <xdr:sp>
      <xdr:nvSpPr>
        <xdr:cNvPr id="22" name="等腰三角形 21"/>
        <xdr:cNvSpPr/>
      </xdr:nvSpPr>
      <xdr:spPr>
        <a:xfrm>
          <a:off x="1035050" y="10812145"/>
          <a:ext cx="279400" cy="402590"/>
        </a:xfrm>
        <a:prstGeom prst="triangle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altLang="zh-C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337820</xdr:colOff>
      <xdr:row>20</xdr:row>
      <xdr:rowOff>63500</xdr:rowOff>
    </xdr:from>
    <xdr:to>
      <xdr:col>1</xdr:col>
      <xdr:colOff>617220</xdr:colOff>
      <xdr:row>20</xdr:row>
      <xdr:rowOff>466090</xdr:rowOff>
    </xdr:to>
    <xdr:sp>
      <xdr:nvSpPr>
        <xdr:cNvPr id="23" name="等腰三角形 22"/>
        <xdr:cNvSpPr/>
      </xdr:nvSpPr>
      <xdr:spPr>
        <a:xfrm>
          <a:off x="1023620" y="11412220"/>
          <a:ext cx="279400" cy="402590"/>
        </a:xfrm>
        <a:prstGeom prst="triangle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altLang="zh-C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337820</xdr:colOff>
      <xdr:row>21</xdr:row>
      <xdr:rowOff>64135</xdr:rowOff>
    </xdr:from>
    <xdr:to>
      <xdr:col>1</xdr:col>
      <xdr:colOff>617220</xdr:colOff>
      <xdr:row>21</xdr:row>
      <xdr:rowOff>466725</xdr:rowOff>
    </xdr:to>
    <xdr:sp>
      <xdr:nvSpPr>
        <xdr:cNvPr id="24" name="等腰三角形 23"/>
        <xdr:cNvSpPr/>
      </xdr:nvSpPr>
      <xdr:spPr>
        <a:xfrm>
          <a:off x="1023620" y="12035155"/>
          <a:ext cx="279400" cy="402590"/>
        </a:xfrm>
        <a:prstGeom prst="triangle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altLang="zh-C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335280</xdr:colOff>
      <xdr:row>22</xdr:row>
      <xdr:rowOff>67945</xdr:rowOff>
    </xdr:from>
    <xdr:to>
      <xdr:col>1</xdr:col>
      <xdr:colOff>614680</xdr:colOff>
      <xdr:row>22</xdr:row>
      <xdr:rowOff>470535</xdr:rowOff>
    </xdr:to>
    <xdr:sp>
      <xdr:nvSpPr>
        <xdr:cNvPr id="25" name="等腰三角形 24"/>
        <xdr:cNvSpPr/>
      </xdr:nvSpPr>
      <xdr:spPr>
        <a:xfrm>
          <a:off x="1021080" y="12661265"/>
          <a:ext cx="279400" cy="402590"/>
        </a:xfrm>
        <a:prstGeom prst="triangle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altLang="zh-C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317500</xdr:colOff>
      <xdr:row>23</xdr:row>
      <xdr:rowOff>85090</xdr:rowOff>
    </xdr:from>
    <xdr:to>
      <xdr:col>1</xdr:col>
      <xdr:colOff>596900</xdr:colOff>
      <xdr:row>23</xdr:row>
      <xdr:rowOff>487680</xdr:rowOff>
    </xdr:to>
    <xdr:sp>
      <xdr:nvSpPr>
        <xdr:cNvPr id="4" name="等腰三角形 3"/>
        <xdr:cNvSpPr/>
      </xdr:nvSpPr>
      <xdr:spPr>
        <a:xfrm>
          <a:off x="1003300" y="13300710"/>
          <a:ext cx="279400" cy="402590"/>
        </a:xfrm>
        <a:prstGeom prst="triangle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altLang="zh-C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307340</xdr:colOff>
      <xdr:row>26</xdr:row>
      <xdr:rowOff>61595</xdr:rowOff>
    </xdr:from>
    <xdr:to>
      <xdr:col>1</xdr:col>
      <xdr:colOff>586740</xdr:colOff>
      <xdr:row>26</xdr:row>
      <xdr:rowOff>464185</xdr:rowOff>
    </xdr:to>
    <xdr:sp>
      <xdr:nvSpPr>
        <xdr:cNvPr id="8" name="等腰三角形 7"/>
        <xdr:cNvSpPr/>
      </xdr:nvSpPr>
      <xdr:spPr>
        <a:xfrm>
          <a:off x="993140" y="15144115"/>
          <a:ext cx="279400" cy="402590"/>
        </a:xfrm>
        <a:prstGeom prst="triangle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altLang="zh-C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335915</xdr:colOff>
      <xdr:row>24</xdr:row>
      <xdr:rowOff>84455</xdr:rowOff>
    </xdr:from>
    <xdr:to>
      <xdr:col>1</xdr:col>
      <xdr:colOff>615315</xdr:colOff>
      <xdr:row>24</xdr:row>
      <xdr:rowOff>487045</xdr:rowOff>
    </xdr:to>
    <xdr:sp>
      <xdr:nvSpPr>
        <xdr:cNvPr id="9" name="等腰三角形 8"/>
        <xdr:cNvSpPr/>
      </xdr:nvSpPr>
      <xdr:spPr>
        <a:xfrm>
          <a:off x="1021715" y="13922375"/>
          <a:ext cx="279400" cy="402590"/>
        </a:xfrm>
        <a:prstGeom prst="triangle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altLang="zh-C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339090</xdr:colOff>
      <xdr:row>25</xdr:row>
      <xdr:rowOff>93980</xdr:rowOff>
    </xdr:from>
    <xdr:to>
      <xdr:col>1</xdr:col>
      <xdr:colOff>618490</xdr:colOff>
      <xdr:row>25</xdr:row>
      <xdr:rowOff>496570</xdr:rowOff>
    </xdr:to>
    <xdr:sp>
      <xdr:nvSpPr>
        <xdr:cNvPr id="10" name="等腰三角形 9"/>
        <xdr:cNvSpPr/>
      </xdr:nvSpPr>
      <xdr:spPr>
        <a:xfrm>
          <a:off x="1024890" y="14554200"/>
          <a:ext cx="279400" cy="402590"/>
        </a:xfrm>
        <a:prstGeom prst="triangle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altLang="zh-C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307340</xdr:colOff>
      <xdr:row>27</xdr:row>
      <xdr:rowOff>61595</xdr:rowOff>
    </xdr:from>
    <xdr:to>
      <xdr:col>1</xdr:col>
      <xdr:colOff>586740</xdr:colOff>
      <xdr:row>27</xdr:row>
      <xdr:rowOff>464185</xdr:rowOff>
    </xdr:to>
    <xdr:sp>
      <xdr:nvSpPr>
        <xdr:cNvPr id="11" name="等腰三角形 10"/>
        <xdr:cNvSpPr/>
      </xdr:nvSpPr>
      <xdr:spPr>
        <a:xfrm>
          <a:off x="993140" y="15766415"/>
          <a:ext cx="279400" cy="402590"/>
        </a:xfrm>
        <a:prstGeom prst="triangle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altLang="zh-CN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 vertOverflow="clip" horzOverflow="clip" wrap="square" rtlCol="0" anchor="t"/>
      <a:lstStyle>
        <a:defPPr algn="l">
          <a:defRPr lang="zh-CN" altLang="en-US" sz="1100"/>
        </a:defPPr>
      </a:lstStyle>
      <a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a:style>
    </a:spDef>
  </a:objectDefaults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item.taobao.com/item.htm?ali_refid=a3_430582_1006%3A1106518385%3AN%3Au1UBpBGjnZWCVyl0O%2Bv8QcjEnkybG3us%3A41639aa95e9c23aa0470744254b63272&amp;ali_trackid=1_41639aa95e9c23aa0470744254b63272&amp;id=567952159835&amp;mi_id=0000KeqmNSsD4H24mAwYseCaesCHR69gvqmkNbKrAaMGOa8&amp;mm_sceneid=1_0_45268066_0&amp;priceTId=2147806a17720878437717316e1963&amp;skuId=4206983090604&amp;spm=a21n57.1.hoverItem.1&amp;utparam=%7B%22aplus_abtest%22%3A%2233fbf6e6fdffafe36ee81b8e1c97131c%22%7D&amp;xxc=ad_ztc" TargetMode="External"/><Relationship Id="rId8" Type="http://schemas.openxmlformats.org/officeDocument/2006/relationships/hyperlink" Target="https://item.taobao.com/item.htm?app=chrome&amp;bxsign=scd4T-hpbmQoFL5blhl9_lqO0X2pZTXF5dGblKc5K2Rg9oouGCrBwiUiGqCz1w-_kD7z1Vxsy-KYeQK-_t1tTBlr_oUsvhf7SPF_5r7kECDGoVMPOGnJqOidanmoqP0Q9KQ&amp;cpp=1&amp;id=927792496359&amp;share_crt_v=1&amp;shareurl=true&amp;short_name=h.7GLfGtb4qHJ3uVE&amp;sp_tk=N2gzWVU5SnRRRmQ%3D&amp;spm=a2159r.13376460.0.0&amp;tbSocialPopKey=shareItem&amp;tk=7h3YU9JtQFd&amp;un=742fb68170c9c41f1d47af8e7279b96e&amp;un_site=0&amp;ut_sk=1.aFJZxn5VMxYDANfqjI%2FGRJff_21646297_1770366102762.GoodsTitleURL.1&amp;wxsign=tbwje4rLWx1oCYQgGvJ7uS89V1LaQR2BFsirFCsbyl16XdPDO8nfp0Ecrl7ekB83oz7qJSDxNKi3yOPhXtUF-O6uvLDGkCJLhV9r4lR58Tx5ncfIQJAMr_xyndRnTAv1EOB&amp;skuId=5975999127938" TargetMode="External"/><Relationship Id="rId7" Type="http://schemas.openxmlformats.org/officeDocument/2006/relationships/hyperlink" Target="https://item.taobao.com/item.htm?app=chrome&amp;bxsign=scdaYW_UxY17KPAvxFAUMMjmr7UH7mtPcULoB8gTFEy5_s6KZQ-3e6qn6bmPJBr6_Gnmo7BQgvPCQksPym4fAJJG35R5roypOETqkSe2TJe0600MWn4Hw3Zrdq3B504mr5p&amp;cpp=1&amp;id=761392726165&amp;share_crt_v=1&amp;shareurl=true&amp;short_name=h.7G15kO1TV6TBd55&amp;sp_tk=MVB0aVU5Sm10MEk%3D&amp;spm=a2159r.13376460.0.0&amp;tbSocialPopKey=shareItem&amp;tk=1PtiU9Jmt0I&amp;un=742fb68170c9c41f1d47af8e7279b96e&amp;un_site=0&amp;ut_sk=1.aFJZxn5VMxYDANfqjI%2FGRJff_21646297_1770366102762.GoodsTitleURL.1&amp;wxsign=tbwJ4uFmJbXrIZhH3tJdYHiKDB_kat3a6BqrzK-HLdPjdByFCkiao2-CrvwaNXsxIZ4S0P5_EE9dtT--IwWo-XB4grKY144TnFsd4DXd-EAJrQgXniBx0OP2SIm-Li5sh3K" TargetMode="External"/><Relationship Id="rId6" Type="http://schemas.openxmlformats.org/officeDocument/2006/relationships/hyperlink" Target="https://item.taobao.com/item.htm?id=965727336507&amp;pisk=fYJn1T6S5B5QLGahcfXI1gIoLhlT9y65PUeRyTQr_N712Dg7eTAMcUbKVX6psaYwSwyKAX1Pre_9y8KpECwkc39KATnCdH65Uq3xHaxBATslmwXWK5-NchzPzMojARtdUq3xEgyXI4ByvCm0JWCN5g2Fzg8PQASl7MSPaU7N_iSzLTWyuZiqhOzBHDXGor5_wy4rwgQ2Yw-pvd-akZxFi82l-Mfh9H7gU8JMafkRgwlbXa6dRFIHPxwCL_AX2gYnKJ8kcdTGbEkuHw-6DICBLbeAi9_hwpW04v-GKwf2KeZzLE-M4ICMBmkfK97ew9t8m2KMKeKBI3Ez_9Xpssvh3g8L_Sk9v8sZ2dP7N6S1jZ3_eq8ht34V0cmgM31Ffi_xjcVS46S1XNiijSwhTGsB3&amp;spm=a1z10.3-c-s.w4002-25260064094.29.5ab53f9fea3dyf&amp;skuId=5905078516977" TargetMode="External"/><Relationship Id="rId5" Type="http://schemas.openxmlformats.org/officeDocument/2006/relationships/hyperlink" Target="https://detail.tmall.com/item.htm?app=chrome&amp;bxsign=scdS1Qgs7MsdREw36OglNPTCz9MfPYMxZhY8eFTM1Hkt6Q2bDPebhEi0A3CGhI86W1oHh4YzCuXx5O4eRMflQRJsKXGGzi9mcI71PMP73arSorOwrV7YWZDnGQRlU78IvH7&amp;cpp=1&amp;id=616903112704&amp;share_crt_v=1&amp;shareurl=true&amp;short_name=h.7GoSCPSq0WSnbRJ&amp;sp_tk=dHBObVU5cUVEQ2E%3D&amp;spm=a2159r.13376460.0.0&amp;tbSocialPopKey=shareItem&amp;tk=tpNmU9qEDCa&amp;un=742fb68170c9c41f1d47af8e7279b96e&amp;un_site=0&amp;ut_sk=1.aFJZxn5VMxYDANfqjI%2FGRJff_21646297_1770366102762.GoodsTitleURL.1&amp;wxsign=tbw2MU_phux3hrqjhvZE-vZflIUVba87hmqvkYbWViPWXDZ_oOgwpjhqMvDK685z_qGvR8SuYI8Una1NYjGvkmjMb-iQtge5s306DqhHX-2WtjFw2uPfMO4aXZJmaLxqEzk&amp;skuId=4523731970400" TargetMode="External"/><Relationship Id="rId4" Type="http://schemas.openxmlformats.org/officeDocument/2006/relationships/vmlDrawing" Target="../drawings/vmlDrawing2.vml"/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6" Type="http://schemas.openxmlformats.org/officeDocument/2006/relationships/hyperlink" Target="https://item.taobao.com/item.htm?from=cart&amp;id=631926212362&amp;mi_id=0000bzHlHXa4uvlUHLf9ZtEfGxnpirVSI57DzlDFMP53KhE&amp;skuId=5083632269169&amp;spm=a1z0d.6639537%2F202410.item.d631926212362.1b1d7484WJK0rq&amp;upStreamPrice=21100" TargetMode="External"/><Relationship Id="rId15" Type="http://schemas.openxmlformats.org/officeDocument/2006/relationships/hyperlink" Target="https://item.taobao.com/item.htm?abbucket=3&amp;id=630734584468&amp;mi_id=0000OcmZ-2wJKZYRLPqCEI1g1S_gOJ1dEdcqpJ-6vn-MC2o&amp;ns=1&amp;priceTId=2147837317720821582153904e18f2&amp;spm=a21n57.1.hoverItem.13&amp;utparam=%7B%22aplus_abtest%22%3A%22857d03c9871e5b2b71501890bf94cbb1%22%7D&amp;xxc=taobaoSearch&amp;sku_properties=-1%3A-2" TargetMode="External"/><Relationship Id="rId14" Type="http://schemas.openxmlformats.org/officeDocument/2006/relationships/hyperlink" Target="https://item.taobao.com/item.htm?app=chrome&amp;bxsign=scd9-Ys-c6ZSUNMZc92VTPsBiqD8O8nQYAMUhffHRSg8J2L6beIkrdAqvJj5khP0dE9hO0WTFaR6Wj5wJNjGARBqyc6Q-WZLXtnwptqFYQ3SYJcWm8joloqeQAF76IrxTUk&amp;cpp=1&amp;h5_spm=a-tb-item.b-tb-item&amp;id=703058753911&amp;share_crt_v=1&amp;shareurl=true&amp;short_name=h.i04VNEyCbFvWubr&amp;sp_tk=dWNuaFVxSWpJeDQ%3D&amp;spm=a2159r.13376460.0.0&amp;tbSocialPopKey=shareItem&amp;tk=ucnhUqIjIx4&amp;un=742fb68170c9c41f1d47af8e7279b96e&amp;un_site=0&amp;ut_sk=1.aZzwSuciuFoDAKZgcMU250GX_21646297_1772081231731.TaoPassword-WeiXin.1&amp;wxsign=tbwoV0fP8WwY7w20Uez1J7P5fMzTlEJk2VSAMVMnXMsTKT5_eXTEwxwIzXJ86-ufvFiI9p-y_Td1SrD5sUjhOk2Zr928EypsfC8sFONuZ76a5h6AUrIDALIw1DAcEDFsaZx&amp;x-ssr=true" TargetMode="External"/><Relationship Id="rId13" Type="http://schemas.openxmlformats.org/officeDocument/2006/relationships/hyperlink" Target="https://item.taobao.com/item.htm?app=chrome&amp;bxsign=scdlQNrOSOxq3WZ_JNCSYaZf9jOl4_q98jlRdGVE8Cv6BJYNe5aeH_h9JQYdHJ_qs3XOCJqXv7jgNqT3O6jAZ9e1IIhl6LKe_hySuvLCEc9zYmxzrGd2BDX76WIpxzdyK2L&amp;cpp=1&amp;id=583793893605&amp;price=0.2&amp;shareUniqueId=35192975026&amp;share_crt_v=1&amp;shareurl=true&amp;short_name=h.ia2qaCOxwxZRGSL&amp;sourceType=item&amp;sp_tk=QmF1b1VxSWRHWjc%3D&amp;spm=a2159r.13376460.0.0&amp;suid=263ee345-8ea0-43c7-830d-17390cc8927b&amp;tbSocialPopKey=shareItem&amp;tk=BauoUqIdGZ7&amp;un=742fb68170c9c41f1d47af8e7279b96e&amp;un_site=0&amp;ut_sk=1.aZzwSuciuFoDAKZgcMU250GX_21646297_1772081231731.Copy.1&amp;wxsign=tbwgM2ZnoKRHEXYmn70U7U__6AyGu8v0iMxpRAYkps24Q9crWQHRtTj0QAIuIXvkxknJWVIDnxRtXJMWJiQ8LS8Wi4AMpxWOVJRcj1wAJbwCFVDWSKv0uHfbmE3mhbWZsj4" TargetMode="External"/><Relationship Id="rId12" Type="http://schemas.openxmlformats.org/officeDocument/2006/relationships/hyperlink" Target="https://item.taobao.com/item.htm?abbucket=3&amp;id=1005819222604&amp;mi_id=00004ajQwC3AKcO8-QlaurgsdyrzSbOWUH00DYkrUMMdTjY&amp;ns=1&amp;priceTId=2150414617720911120964134e19dd&amp;spm=a21n57.1.hoverItem.22&amp;utparam=%7B%22aplus_abtest%22%3A%22d4117b8ab4e2c4cced38c5048d1a49be%22%7D&amp;xxc=taobaoSearch" TargetMode="External"/><Relationship Id="rId11" Type="http://schemas.openxmlformats.org/officeDocument/2006/relationships/hyperlink" Target="https://item.taobao.com/item.htm?id=789769868628" TargetMode="External"/><Relationship Id="rId10" Type="http://schemas.openxmlformats.org/officeDocument/2006/relationships/hyperlink" Target="https://item.taobao.com/item.htm?id=803132423141&amp;spm=a21m98.27004841" TargetMode="Externa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50"/>
  <sheetViews>
    <sheetView tabSelected="1" view="pageBreakPreview" zoomScale="79" zoomScaleNormal="85" topLeftCell="A17" workbookViewId="0">
      <selection activeCell="E26" sqref="E26:G26"/>
    </sheetView>
  </sheetViews>
  <sheetFormatPr defaultColWidth="9" defaultRowHeight="14.25"/>
  <cols>
    <col min="2" max="2" width="12.0833333333333" customWidth="1"/>
    <col min="3" max="6" width="12.75" customWidth="1"/>
    <col min="7" max="7" width="12.75" style="9" customWidth="1"/>
    <col min="8" max="8" width="12.75" customWidth="1"/>
    <col min="9" max="9" width="23.8333333333333" customWidth="1"/>
    <col min="10" max="10" width="20.75" customWidth="1"/>
    <col min="11" max="13" width="15.75" customWidth="1"/>
    <col min="14" max="14" width="26.8333333333333" customWidth="1"/>
    <col min="15" max="18" width="9" hidden="1" customWidth="1"/>
  </cols>
  <sheetData>
    <row r="1" ht="28.15" customHeight="1" spans="1:14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="8" customFormat="1" ht="20.15" customHeight="1" spans="1:14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2" t="s">
        <v>2</v>
      </c>
      <c r="N2" s="13"/>
    </row>
    <row r="3" s="8" customFormat="1" ht="41.15" customHeight="1" spans="1:14">
      <c r="A3" s="14" t="s">
        <v>3</v>
      </c>
      <c r="B3" s="15"/>
      <c r="C3" s="16" t="s">
        <v>4</v>
      </c>
      <c r="D3" s="17"/>
      <c r="E3" s="16" t="s">
        <v>5</v>
      </c>
      <c r="F3" s="17"/>
      <c r="G3" s="18" t="s">
        <v>6</v>
      </c>
      <c r="H3" s="17"/>
      <c r="I3" s="16" t="s">
        <v>7</v>
      </c>
      <c r="J3" s="17"/>
      <c r="K3" s="19" t="s">
        <v>8</v>
      </c>
      <c r="L3" s="19"/>
      <c r="M3" s="19" t="s">
        <v>9</v>
      </c>
      <c r="N3" s="20"/>
    </row>
    <row r="4" ht="20.15" customHeight="1" spans="1:14">
      <c r="A4" s="21" t="s">
        <v>10</v>
      </c>
      <c r="B4" s="21" t="s">
        <v>11</v>
      </c>
      <c r="C4" s="22" t="s">
        <v>12</v>
      </c>
      <c r="D4" s="23"/>
      <c r="E4" s="22" t="s">
        <v>13</v>
      </c>
      <c r="F4" s="23"/>
      <c r="G4" s="24"/>
      <c r="H4" s="22" t="s">
        <v>14</v>
      </c>
      <c r="I4" s="24"/>
      <c r="J4" s="25" t="s">
        <v>15</v>
      </c>
      <c r="K4" s="25"/>
      <c r="L4" s="25" t="s">
        <v>16</v>
      </c>
      <c r="M4" s="25"/>
      <c r="N4" s="25" t="s">
        <v>17</v>
      </c>
    </row>
    <row r="5" ht="49" customHeight="1" spans="1:14">
      <c r="A5" s="25">
        <v>1</v>
      </c>
      <c r="B5" s="26">
        <v>1</v>
      </c>
      <c r="C5" s="27" t="s">
        <v>18</v>
      </c>
      <c r="D5" s="28"/>
      <c r="E5" s="29"/>
      <c r="F5" s="29"/>
      <c r="G5" s="29"/>
      <c r="H5" s="30" t="s">
        <v>19</v>
      </c>
      <c r="I5" s="31"/>
      <c r="J5" s="25" t="s">
        <v>20</v>
      </c>
      <c r="K5" s="25"/>
      <c r="L5" s="32">
        <v>46080</v>
      </c>
      <c r="M5" s="24"/>
      <c r="N5" s="33" t="s">
        <v>21</v>
      </c>
    </row>
    <row r="6" ht="49" customHeight="1" spans="1:14">
      <c r="A6" s="25">
        <v>2</v>
      </c>
      <c r="B6" s="26">
        <v>1</v>
      </c>
      <c r="C6" s="27" t="s">
        <v>22</v>
      </c>
      <c r="D6" s="28"/>
      <c r="E6" s="29"/>
      <c r="F6" s="29"/>
      <c r="G6" s="29"/>
      <c r="H6" s="30" t="s">
        <v>23</v>
      </c>
      <c r="I6" s="31"/>
      <c r="J6" s="25" t="s">
        <v>20</v>
      </c>
      <c r="K6" s="25"/>
      <c r="L6" s="32">
        <v>46080</v>
      </c>
      <c r="M6" s="24"/>
      <c r="N6" s="34" t="s">
        <v>24</v>
      </c>
    </row>
    <row r="7" ht="49" customHeight="1" spans="1:14">
      <c r="A7" s="25">
        <v>3</v>
      </c>
      <c r="B7" s="35">
        <v>1</v>
      </c>
      <c r="C7" s="27" t="s">
        <v>25</v>
      </c>
      <c r="D7" s="28"/>
      <c r="E7" s="29"/>
      <c r="F7" s="29"/>
      <c r="G7" s="29"/>
      <c r="H7" s="30" t="s">
        <v>26</v>
      </c>
      <c r="I7" s="31"/>
      <c r="J7" s="25" t="s">
        <v>20</v>
      </c>
      <c r="K7" s="25"/>
      <c r="L7" s="32">
        <v>46080</v>
      </c>
      <c r="M7" s="24"/>
      <c r="N7" s="34" t="s">
        <v>27</v>
      </c>
    </row>
    <row r="8" ht="49" customHeight="1" spans="1:14">
      <c r="A8" s="25">
        <v>4</v>
      </c>
      <c r="B8" s="35">
        <v>1</v>
      </c>
      <c r="C8" s="27" t="s">
        <v>28</v>
      </c>
      <c r="D8" s="28"/>
      <c r="E8" s="29"/>
      <c r="F8" s="29"/>
      <c r="G8" s="29"/>
      <c r="H8" s="30" t="s">
        <v>29</v>
      </c>
      <c r="I8" s="31"/>
      <c r="J8" s="25" t="s">
        <v>20</v>
      </c>
      <c r="K8" s="25"/>
      <c r="L8" s="32">
        <v>46080</v>
      </c>
      <c r="M8" s="24"/>
      <c r="N8" s="36" t="s">
        <v>30</v>
      </c>
    </row>
    <row r="9" ht="49" customHeight="1" spans="1:14">
      <c r="A9" s="25">
        <v>5</v>
      </c>
      <c r="B9" s="35">
        <v>1</v>
      </c>
      <c r="C9" s="27" t="s">
        <v>31</v>
      </c>
      <c r="D9" s="28"/>
      <c r="E9" s="29"/>
      <c r="F9" s="29"/>
      <c r="G9" s="29"/>
      <c r="H9" s="30" t="s">
        <v>32</v>
      </c>
      <c r="I9" s="31"/>
      <c r="J9" s="25" t="s">
        <v>20</v>
      </c>
      <c r="K9" s="25"/>
      <c r="L9" s="32">
        <v>46080</v>
      </c>
      <c r="M9" s="24"/>
      <c r="N9" s="37" t="s">
        <v>33</v>
      </c>
    </row>
    <row r="10" ht="49" customHeight="1" spans="1:14">
      <c r="A10" s="25">
        <v>6</v>
      </c>
      <c r="B10" s="35">
        <v>1</v>
      </c>
      <c r="C10" s="27" t="s">
        <v>34</v>
      </c>
      <c r="D10" s="28"/>
      <c r="E10" s="29"/>
      <c r="F10" s="29"/>
      <c r="G10" s="29"/>
      <c r="H10" s="30" t="s">
        <v>35</v>
      </c>
      <c r="I10" s="31"/>
      <c r="J10" s="25" t="s">
        <v>20</v>
      </c>
      <c r="K10" s="25"/>
      <c r="L10" s="32">
        <v>46080</v>
      </c>
      <c r="M10" s="24"/>
      <c r="N10" s="37">
        <v>18960739823</v>
      </c>
    </row>
    <row r="11" ht="49" customHeight="1" spans="1:14">
      <c r="A11" s="25">
        <v>7</v>
      </c>
      <c r="B11" s="35">
        <v>1</v>
      </c>
      <c r="C11" s="27" t="s">
        <v>36</v>
      </c>
      <c r="D11" s="28"/>
      <c r="E11" s="29"/>
      <c r="F11" s="29"/>
      <c r="G11" s="29"/>
      <c r="H11" s="30" t="s">
        <v>37</v>
      </c>
      <c r="I11" s="31" t="s">
        <v>37</v>
      </c>
      <c r="J11" s="25" t="s">
        <v>20</v>
      </c>
      <c r="K11" s="25"/>
      <c r="L11" s="32">
        <v>46080</v>
      </c>
      <c r="M11" s="24"/>
      <c r="N11" s="37">
        <v>18668172091</v>
      </c>
    </row>
    <row r="12" ht="49" customHeight="1" spans="1:14">
      <c r="A12" s="25">
        <v>8</v>
      </c>
      <c r="B12" s="35">
        <v>1</v>
      </c>
      <c r="C12" s="27" t="s">
        <v>38</v>
      </c>
      <c r="D12" s="28"/>
      <c r="E12" s="29"/>
      <c r="F12" s="29"/>
      <c r="G12" s="29"/>
      <c r="H12" s="30" t="s">
        <v>39</v>
      </c>
      <c r="I12" s="31" t="s">
        <v>39</v>
      </c>
      <c r="J12" s="25" t="s">
        <v>20</v>
      </c>
      <c r="K12" s="25"/>
      <c r="L12" s="32">
        <v>46080</v>
      </c>
      <c r="M12" s="24"/>
      <c r="N12" s="37"/>
    </row>
    <row r="13" ht="49" customHeight="1" spans="1:14">
      <c r="A13" s="25">
        <v>9</v>
      </c>
      <c r="B13" s="35">
        <v>1</v>
      </c>
      <c r="C13" s="27" t="s">
        <v>40</v>
      </c>
      <c r="D13" s="28"/>
      <c r="E13" s="29"/>
      <c r="F13" s="29"/>
      <c r="G13" s="29"/>
      <c r="H13" s="30" t="s">
        <v>41</v>
      </c>
      <c r="I13" s="31" t="s">
        <v>41</v>
      </c>
      <c r="J13" s="25" t="s">
        <v>20</v>
      </c>
      <c r="K13" s="25"/>
      <c r="L13" s="32">
        <v>46080</v>
      </c>
      <c r="M13" s="24"/>
      <c r="N13" s="37"/>
    </row>
    <row r="14" ht="49" customHeight="1" spans="1:14">
      <c r="A14" s="25">
        <v>10</v>
      </c>
      <c r="B14" s="35">
        <v>1</v>
      </c>
      <c r="C14" s="27" t="s">
        <v>42</v>
      </c>
      <c r="D14" s="28"/>
      <c r="E14" s="29"/>
      <c r="F14" s="29"/>
      <c r="G14" s="29"/>
      <c r="H14" s="30" t="s">
        <v>43</v>
      </c>
      <c r="I14" s="31" t="s">
        <v>43</v>
      </c>
      <c r="J14" s="25" t="s">
        <v>20</v>
      </c>
      <c r="K14" s="25"/>
      <c r="L14" s="32">
        <v>46080</v>
      </c>
      <c r="M14" s="24"/>
      <c r="N14" s="37">
        <v>13539986755</v>
      </c>
    </row>
    <row r="15" ht="49" customHeight="1" spans="1:14">
      <c r="A15" s="25">
        <v>11</v>
      </c>
      <c r="B15" s="35">
        <v>1</v>
      </c>
      <c r="C15" s="27" t="s">
        <v>44</v>
      </c>
      <c r="D15" s="28"/>
      <c r="E15" s="29"/>
      <c r="F15" s="29"/>
      <c r="G15" s="29"/>
      <c r="H15" s="30" t="s">
        <v>45</v>
      </c>
      <c r="I15" s="31" t="s">
        <v>45</v>
      </c>
      <c r="J15" s="25" t="s">
        <v>20</v>
      </c>
      <c r="K15" s="25"/>
      <c r="L15" s="32">
        <v>46080</v>
      </c>
      <c r="M15" s="24"/>
      <c r="N15" s="37" t="s">
        <v>46</v>
      </c>
    </row>
    <row r="16" ht="49" customHeight="1" spans="1:14">
      <c r="A16" s="25">
        <v>12</v>
      </c>
      <c r="B16" s="35">
        <v>1</v>
      </c>
      <c r="C16" s="27" t="s">
        <v>47</v>
      </c>
      <c r="D16" s="28"/>
      <c r="E16" s="29"/>
      <c r="F16" s="29"/>
      <c r="G16" s="29"/>
      <c r="H16" s="30" t="s">
        <v>48</v>
      </c>
      <c r="I16" s="31" t="s">
        <v>48</v>
      </c>
      <c r="J16" s="25" t="s">
        <v>20</v>
      </c>
      <c r="K16" s="25"/>
      <c r="L16" s="32">
        <v>46080</v>
      </c>
      <c r="M16" s="24"/>
      <c r="N16" s="37" t="s">
        <v>49</v>
      </c>
    </row>
    <row r="17" ht="49" customHeight="1" spans="1:14">
      <c r="A17" s="25">
        <v>13</v>
      </c>
      <c r="B17" s="35">
        <v>1</v>
      </c>
      <c r="C17" s="27" t="s">
        <v>50</v>
      </c>
      <c r="D17" s="28"/>
      <c r="E17" s="29"/>
      <c r="F17" s="29"/>
      <c r="G17" s="29"/>
      <c r="H17" s="30" t="s">
        <v>51</v>
      </c>
      <c r="I17" s="31" t="s">
        <v>51</v>
      </c>
      <c r="J17" s="25" t="s">
        <v>20</v>
      </c>
      <c r="K17" s="25"/>
      <c r="L17" s="32">
        <v>46080</v>
      </c>
      <c r="M17" s="24"/>
      <c r="N17" s="37" t="s">
        <v>49</v>
      </c>
    </row>
    <row r="18" ht="49" customHeight="1" spans="1:14">
      <c r="A18" s="25">
        <v>14</v>
      </c>
      <c r="B18" s="35">
        <v>1</v>
      </c>
      <c r="C18" s="27" t="s">
        <v>52</v>
      </c>
      <c r="D18" s="28"/>
      <c r="E18" s="29"/>
      <c r="F18" s="29"/>
      <c r="G18" s="29"/>
      <c r="H18" s="30" t="s">
        <v>53</v>
      </c>
      <c r="I18" s="31" t="s">
        <v>53</v>
      </c>
      <c r="J18" s="25" t="s">
        <v>20</v>
      </c>
      <c r="K18" s="25"/>
      <c r="L18" s="32">
        <v>46080</v>
      </c>
      <c r="M18" s="24"/>
      <c r="N18" s="37" t="s">
        <v>54</v>
      </c>
    </row>
    <row r="19" ht="49" customHeight="1" spans="1:14">
      <c r="A19" s="25">
        <v>15</v>
      </c>
      <c r="B19" s="35">
        <v>1</v>
      </c>
      <c r="C19" s="27" t="s">
        <v>55</v>
      </c>
      <c r="D19" s="28"/>
      <c r="E19" s="29"/>
      <c r="F19" s="29"/>
      <c r="G19" s="29"/>
      <c r="H19" s="30" t="s">
        <v>56</v>
      </c>
      <c r="I19" s="31" t="s">
        <v>56</v>
      </c>
      <c r="J19" s="25" t="s">
        <v>20</v>
      </c>
      <c r="K19" s="25"/>
      <c r="L19" s="32">
        <v>46080</v>
      </c>
      <c r="M19" s="24"/>
      <c r="N19" s="37" t="s">
        <v>57</v>
      </c>
    </row>
    <row r="20" ht="49" customHeight="1" spans="1:14">
      <c r="A20" s="25">
        <v>16</v>
      </c>
      <c r="B20" s="35">
        <v>1</v>
      </c>
      <c r="C20" s="27" t="s">
        <v>58</v>
      </c>
      <c r="D20" s="28"/>
      <c r="E20" s="29"/>
      <c r="F20" s="29"/>
      <c r="G20" s="29"/>
      <c r="H20" s="30" t="s">
        <v>59</v>
      </c>
      <c r="I20" s="31" t="s">
        <v>59</v>
      </c>
      <c r="J20" s="25" t="s">
        <v>20</v>
      </c>
      <c r="K20" s="25"/>
      <c r="L20" s="32">
        <v>46080</v>
      </c>
      <c r="M20" s="24"/>
      <c r="N20" s="37" t="s">
        <v>60</v>
      </c>
    </row>
    <row r="21" ht="49" customHeight="1" spans="1:14">
      <c r="A21" s="25">
        <v>17</v>
      </c>
      <c r="B21" s="35">
        <v>1</v>
      </c>
      <c r="C21" s="27" t="s">
        <v>61</v>
      </c>
      <c r="D21" s="28"/>
      <c r="E21" s="29"/>
      <c r="F21" s="29"/>
      <c r="G21" s="29"/>
      <c r="H21" s="30" t="s">
        <v>62</v>
      </c>
      <c r="I21" s="31" t="s">
        <v>62</v>
      </c>
      <c r="J21" s="25" t="s">
        <v>20</v>
      </c>
      <c r="K21" s="25"/>
      <c r="L21" s="32">
        <v>46080</v>
      </c>
      <c r="M21" s="24"/>
      <c r="N21" s="37" t="s">
        <v>63</v>
      </c>
    </row>
    <row r="22" ht="49" customHeight="1" spans="1:14">
      <c r="A22" s="25">
        <v>18</v>
      </c>
      <c r="B22" s="35">
        <v>1</v>
      </c>
      <c r="C22" s="27" t="s">
        <v>64</v>
      </c>
      <c r="D22" s="28"/>
      <c r="E22" s="29"/>
      <c r="F22" s="29"/>
      <c r="G22" s="29"/>
      <c r="H22" s="30" t="s">
        <v>65</v>
      </c>
      <c r="I22" s="31" t="s">
        <v>65</v>
      </c>
      <c r="J22" s="25" t="s">
        <v>20</v>
      </c>
      <c r="K22" s="25"/>
      <c r="L22" s="32">
        <v>46080</v>
      </c>
      <c r="M22" s="24"/>
      <c r="N22" s="37" t="s">
        <v>66</v>
      </c>
    </row>
    <row r="23" ht="49" customHeight="1" spans="1:14">
      <c r="A23" s="25">
        <v>19</v>
      </c>
      <c r="B23" s="35">
        <v>1</v>
      </c>
      <c r="C23" s="27" t="s">
        <v>67</v>
      </c>
      <c r="D23" s="28"/>
      <c r="E23" s="29"/>
      <c r="F23" s="29"/>
      <c r="G23" s="29"/>
      <c r="H23" s="30" t="s">
        <v>68</v>
      </c>
      <c r="I23" s="31" t="s">
        <v>68</v>
      </c>
      <c r="J23" s="25" t="s">
        <v>20</v>
      </c>
      <c r="K23" s="25"/>
      <c r="L23" s="32">
        <v>46080</v>
      </c>
      <c r="M23" s="24"/>
      <c r="N23" s="37" t="s">
        <v>69</v>
      </c>
    </row>
    <row r="24" ht="49" customHeight="1" spans="1:14">
      <c r="A24" s="25">
        <v>20</v>
      </c>
      <c r="B24" s="38">
        <v>2</v>
      </c>
      <c r="C24" s="39" t="s">
        <v>42</v>
      </c>
      <c r="D24" s="39"/>
      <c r="E24" s="29" t="s">
        <v>43</v>
      </c>
      <c r="F24" s="29"/>
      <c r="G24" s="29"/>
      <c r="H24" s="30" t="s">
        <v>70</v>
      </c>
      <c r="I24" s="31"/>
      <c r="J24" s="25" t="s">
        <v>71</v>
      </c>
      <c r="K24" s="25"/>
      <c r="L24" s="32">
        <v>46129</v>
      </c>
      <c r="M24" s="24"/>
      <c r="N24" s="40" t="s">
        <v>72</v>
      </c>
    </row>
    <row r="25" ht="49" customHeight="1" spans="1:14">
      <c r="A25" s="25">
        <v>21</v>
      </c>
      <c r="B25" s="38">
        <v>2</v>
      </c>
      <c r="C25" s="39" t="s">
        <v>18</v>
      </c>
      <c r="D25" s="39"/>
      <c r="E25" s="29" t="s">
        <v>73</v>
      </c>
      <c r="F25" s="29"/>
      <c r="G25" s="29"/>
      <c r="H25" s="30" t="s">
        <v>74</v>
      </c>
      <c r="I25" s="31"/>
      <c r="J25" s="25" t="s">
        <v>71</v>
      </c>
      <c r="K25" s="25"/>
      <c r="L25" s="32">
        <v>46129</v>
      </c>
      <c r="M25" s="24"/>
      <c r="N25" s="41"/>
    </row>
    <row r="26" ht="49" customHeight="1" spans="1:14">
      <c r="A26" s="25">
        <v>22</v>
      </c>
      <c r="B26" s="38">
        <v>2</v>
      </c>
      <c r="C26" s="39" t="s">
        <v>75</v>
      </c>
      <c r="D26" s="39"/>
      <c r="E26" s="29"/>
      <c r="F26" s="29"/>
      <c r="G26" s="29"/>
      <c r="H26" s="30" t="s">
        <v>76</v>
      </c>
      <c r="I26" s="31"/>
      <c r="J26" s="25" t="s">
        <v>20</v>
      </c>
      <c r="K26" s="25"/>
      <c r="L26" s="32">
        <v>46129</v>
      </c>
      <c r="M26" s="24"/>
      <c r="N26" s="42" t="s">
        <v>77</v>
      </c>
    </row>
    <row r="27" ht="49" customHeight="1" spans="1:14">
      <c r="A27" s="25">
        <v>23</v>
      </c>
      <c r="B27" s="38">
        <v>3</v>
      </c>
      <c r="C27" s="39" t="s">
        <v>78</v>
      </c>
      <c r="D27" s="39"/>
      <c r="E27" s="29"/>
      <c r="F27" s="29"/>
      <c r="G27" s="29"/>
      <c r="H27" s="30" t="s">
        <v>79</v>
      </c>
      <c r="I27" s="31"/>
      <c r="J27" s="25" t="s">
        <v>20</v>
      </c>
      <c r="K27" s="25"/>
      <c r="L27" s="32">
        <v>46223</v>
      </c>
      <c r="M27" s="24"/>
      <c r="N27" s="43" t="s">
        <v>80</v>
      </c>
    </row>
    <row r="28" ht="49" customHeight="1" spans="1:14">
      <c r="A28" s="25">
        <v>24</v>
      </c>
      <c r="B28" s="38">
        <v>3</v>
      </c>
      <c r="C28" s="39" t="s">
        <v>81</v>
      </c>
      <c r="D28" s="39"/>
      <c r="E28" s="29"/>
      <c r="F28" s="29"/>
      <c r="G28" s="29"/>
      <c r="H28" s="30" t="s">
        <v>82</v>
      </c>
      <c r="I28" s="31"/>
      <c r="J28" s="25" t="s">
        <v>20</v>
      </c>
      <c r="K28" s="25"/>
      <c r="L28" s="32">
        <v>46223</v>
      </c>
      <c r="M28" s="24"/>
      <c r="N28" s="43" t="s">
        <v>83</v>
      </c>
    </row>
    <row r="29" ht="49" customHeight="1" spans="1:14">
      <c r="A29" s="25">
        <v>25</v>
      </c>
      <c r="B29" s="44"/>
      <c r="C29" s="39"/>
      <c r="D29" s="39"/>
      <c r="E29" s="29"/>
      <c r="F29" s="29"/>
      <c r="G29" s="29"/>
      <c r="H29" s="30"/>
      <c r="I29" s="31"/>
      <c r="J29" s="25"/>
      <c r="K29" s="25"/>
      <c r="L29" s="32"/>
      <c r="M29" s="24"/>
      <c r="N29" s="41"/>
    </row>
    <row r="30" ht="49" customHeight="1" spans="1:14">
      <c r="A30" s="25">
        <v>26</v>
      </c>
      <c r="B30" s="44"/>
      <c r="C30" s="39"/>
      <c r="D30" s="39"/>
      <c r="E30" s="29"/>
      <c r="F30" s="29"/>
      <c r="G30" s="29"/>
      <c r="H30" s="30"/>
      <c r="I30" s="31"/>
      <c r="J30" s="25"/>
      <c r="K30" s="25"/>
      <c r="L30" s="32"/>
      <c r="M30" s="24"/>
      <c r="N30" s="40"/>
    </row>
    <row r="31" ht="49" customHeight="1" spans="1:14">
      <c r="A31" s="25">
        <v>27</v>
      </c>
      <c r="B31" s="44"/>
      <c r="C31" s="39"/>
      <c r="D31" s="39"/>
      <c r="E31" s="29"/>
      <c r="F31" s="29"/>
      <c r="G31" s="29"/>
      <c r="H31" s="30"/>
      <c r="I31" s="31"/>
      <c r="J31" s="25"/>
      <c r="K31" s="25"/>
      <c r="L31" s="32"/>
      <c r="M31" s="24"/>
      <c r="N31" s="40"/>
    </row>
    <row r="32" ht="49" customHeight="1" spans="1:14">
      <c r="A32" s="25">
        <v>28</v>
      </c>
      <c r="B32" s="44"/>
      <c r="C32" s="39"/>
      <c r="D32" s="39"/>
      <c r="E32" s="29"/>
      <c r="F32" s="29"/>
      <c r="G32" s="29"/>
      <c r="H32" s="30"/>
      <c r="I32" s="31"/>
      <c r="J32" s="25"/>
      <c r="K32" s="25"/>
      <c r="L32" s="32"/>
      <c r="M32" s="24"/>
      <c r="N32" s="40"/>
    </row>
    <row r="33" ht="49" customHeight="1" spans="1:14">
      <c r="A33" s="25">
        <v>29</v>
      </c>
      <c r="B33" s="44"/>
      <c r="C33" s="39"/>
      <c r="D33" s="39"/>
      <c r="E33" s="29"/>
      <c r="F33" s="29"/>
      <c r="G33" s="29"/>
      <c r="H33" s="30"/>
      <c r="I33" s="31"/>
      <c r="J33" s="25"/>
      <c r="K33" s="25"/>
      <c r="L33" s="32"/>
      <c r="M33" s="24"/>
      <c r="N33" s="40"/>
    </row>
    <row r="34" ht="49" customHeight="1" spans="1:14">
      <c r="A34" s="25">
        <v>30</v>
      </c>
      <c r="B34" s="44"/>
      <c r="C34" s="39"/>
      <c r="D34" s="39"/>
      <c r="E34" s="29"/>
      <c r="F34" s="29"/>
      <c r="G34" s="29"/>
      <c r="H34" s="30"/>
      <c r="I34" s="31"/>
      <c r="J34" s="25"/>
      <c r="K34" s="25"/>
      <c r="L34" s="32"/>
      <c r="M34" s="24"/>
      <c r="N34" s="40"/>
    </row>
    <row r="35" ht="49" customHeight="1" spans="1:14">
      <c r="A35" s="25">
        <v>31</v>
      </c>
      <c r="B35" s="44"/>
      <c r="C35" s="39"/>
      <c r="D35" s="39"/>
      <c r="E35" s="29"/>
      <c r="F35" s="29"/>
      <c r="G35" s="29"/>
      <c r="H35" s="30"/>
      <c r="I35" s="31"/>
      <c r="J35" s="25"/>
      <c r="K35" s="25"/>
      <c r="L35" s="32"/>
      <c r="M35" s="24"/>
      <c r="N35" s="40"/>
    </row>
    <row r="36" ht="49" customHeight="1" spans="1:14">
      <c r="A36" s="25">
        <v>32</v>
      </c>
      <c r="B36" s="44"/>
      <c r="C36" s="39"/>
      <c r="D36" s="39"/>
      <c r="E36" s="29"/>
      <c r="F36" s="29"/>
      <c r="G36" s="29"/>
      <c r="H36" s="30"/>
      <c r="I36" s="31"/>
      <c r="J36" s="25"/>
      <c r="K36" s="25"/>
      <c r="L36" s="32"/>
      <c r="M36" s="24"/>
      <c r="N36" s="40"/>
    </row>
    <row r="37" ht="49" customHeight="1" spans="1:14">
      <c r="A37" s="25">
        <v>33</v>
      </c>
      <c r="B37" s="44"/>
      <c r="C37" s="39"/>
      <c r="D37" s="39"/>
      <c r="E37" s="29"/>
      <c r="F37" s="29"/>
      <c r="G37" s="29"/>
      <c r="H37" s="30"/>
      <c r="I37" s="31"/>
      <c r="J37" s="25"/>
      <c r="K37" s="25"/>
      <c r="L37" s="32"/>
      <c r="M37" s="24"/>
      <c r="N37" s="40"/>
    </row>
    <row r="38" ht="49" customHeight="1" spans="1:14">
      <c r="A38" s="25">
        <v>34</v>
      </c>
      <c r="B38" s="44"/>
      <c r="C38" s="39"/>
      <c r="D38" s="39"/>
      <c r="E38" s="29"/>
      <c r="F38" s="29"/>
      <c r="G38" s="29"/>
      <c r="H38" s="30"/>
      <c r="I38" s="31"/>
      <c r="J38" s="25"/>
      <c r="K38" s="25"/>
      <c r="L38" s="32"/>
      <c r="M38" s="24"/>
      <c r="N38" s="40"/>
    </row>
    <row r="39" ht="49" customHeight="1" spans="1:14">
      <c r="A39" s="25">
        <v>35</v>
      </c>
      <c r="B39" s="44"/>
      <c r="C39" s="39"/>
      <c r="D39" s="39"/>
      <c r="E39" s="29"/>
      <c r="F39" s="29"/>
      <c r="G39" s="29"/>
      <c r="H39" s="30"/>
      <c r="I39" s="31"/>
      <c r="J39" s="25"/>
      <c r="K39" s="25"/>
      <c r="L39" s="32"/>
      <c r="M39" s="24"/>
      <c r="N39" s="41"/>
    </row>
    <row r="40" ht="49" customHeight="1" spans="1:14">
      <c r="A40" s="25">
        <v>36</v>
      </c>
      <c r="B40" s="38"/>
      <c r="C40" s="39"/>
      <c r="D40" s="39"/>
      <c r="E40" s="29"/>
      <c r="F40" s="29"/>
      <c r="G40" s="29"/>
      <c r="H40" s="30"/>
      <c r="I40" s="31"/>
      <c r="J40" s="25"/>
      <c r="K40" s="25"/>
      <c r="L40" s="45"/>
      <c r="M40" s="46"/>
      <c r="N40" s="41"/>
    </row>
    <row r="41" ht="49" customHeight="1" spans="1:14">
      <c r="A41" s="25">
        <v>37</v>
      </c>
      <c r="B41" s="38"/>
      <c r="C41" s="39"/>
      <c r="D41" s="39"/>
      <c r="E41" s="29"/>
      <c r="F41" s="29"/>
      <c r="G41" s="29"/>
      <c r="H41" s="47"/>
      <c r="I41" s="9"/>
      <c r="J41" s="22"/>
      <c r="K41" s="24"/>
      <c r="L41" s="45"/>
      <c r="M41" s="46"/>
      <c r="N41" s="40"/>
    </row>
    <row r="42" ht="49" customHeight="1" spans="1:14">
      <c r="A42" s="25">
        <v>38</v>
      </c>
      <c r="B42" s="38"/>
      <c r="C42" s="39"/>
      <c r="D42" s="39"/>
      <c r="E42" s="29"/>
      <c r="F42" s="29"/>
      <c r="G42" s="29"/>
      <c r="H42" s="30"/>
      <c r="I42" s="31"/>
      <c r="J42" s="25"/>
      <c r="K42" s="25"/>
      <c r="L42" s="45"/>
      <c r="M42" s="46"/>
      <c r="N42" s="40"/>
    </row>
    <row r="43" ht="49" customHeight="1" spans="1:14">
      <c r="A43" s="25">
        <v>39</v>
      </c>
      <c r="B43" s="26"/>
      <c r="C43" s="48"/>
      <c r="D43" s="49"/>
      <c r="E43" s="29"/>
      <c r="F43" s="29"/>
      <c r="G43" s="29"/>
      <c r="H43" s="30"/>
      <c r="I43" s="31"/>
      <c r="J43" s="25"/>
      <c r="K43" s="25"/>
      <c r="L43" s="45"/>
      <c r="M43" s="46"/>
      <c r="N43" s="40"/>
    </row>
    <row r="44" ht="49" customHeight="1" spans="1:14">
      <c r="A44" s="25">
        <v>40</v>
      </c>
      <c r="B44" s="26"/>
      <c r="C44" s="50"/>
      <c r="D44" s="51"/>
      <c r="E44" s="29"/>
      <c r="F44" s="29"/>
      <c r="G44" s="29"/>
      <c r="H44" s="30"/>
      <c r="I44" s="31"/>
      <c r="J44" s="25"/>
      <c r="K44" s="25"/>
      <c r="L44" s="45"/>
      <c r="M44" s="46"/>
      <c r="N44" s="40"/>
    </row>
    <row r="45" ht="35.15" customHeight="1" spans="1:14">
      <c r="A45" s="52" t="s">
        <v>84</v>
      </c>
      <c r="B45" s="53"/>
      <c r="C45" s="54" t="s">
        <v>85</v>
      </c>
      <c r="D45" s="54"/>
      <c r="E45" s="54"/>
      <c r="F45" s="54"/>
      <c r="G45" s="54"/>
      <c r="H45" s="54"/>
      <c r="I45" s="55" t="s">
        <v>86</v>
      </c>
      <c r="J45" s="56" t="s">
        <v>87</v>
      </c>
      <c r="K45" s="53"/>
      <c r="L45" s="53"/>
      <c r="M45" s="53"/>
      <c r="N45" s="57"/>
    </row>
    <row r="46" ht="35.15" customHeight="1" spans="1:14">
      <c r="A46" s="56" t="s">
        <v>88</v>
      </c>
      <c r="B46" s="53"/>
      <c r="C46" s="54" t="s">
        <v>85</v>
      </c>
      <c r="D46" s="54"/>
      <c r="E46" s="54"/>
      <c r="F46" s="54"/>
      <c r="G46" s="54"/>
      <c r="H46" s="54"/>
      <c r="I46" s="55" t="s">
        <v>89</v>
      </c>
      <c r="J46" s="56" t="s">
        <v>90</v>
      </c>
      <c r="K46" s="53"/>
      <c r="L46" s="53"/>
      <c r="M46" s="53"/>
      <c r="N46" s="57"/>
    </row>
    <row r="47" ht="35.15" customHeight="1" spans="1:14">
      <c r="A47" s="56" t="s">
        <v>91</v>
      </c>
      <c r="B47" s="53"/>
      <c r="C47" s="56"/>
      <c r="D47" s="53"/>
      <c r="E47" s="56"/>
      <c r="F47" s="53"/>
      <c r="G47" s="53"/>
      <c r="H47" s="53"/>
      <c r="I47" s="55" t="s">
        <v>92</v>
      </c>
      <c r="J47" s="58"/>
      <c r="K47" s="59"/>
      <c r="L47" s="59"/>
      <c r="M47" s="59"/>
      <c r="N47" s="60"/>
    </row>
    <row r="48" ht="35.15" customHeight="1" spans="1:14">
      <c r="A48" s="56" t="s">
        <v>93</v>
      </c>
      <c r="B48" s="53"/>
      <c r="C48" s="56" t="str">
        <f>LEFT(J45,7)&amp;RIGHT(J45,7)&amp;"-"&amp;C47</f>
        <v>T024-200250006-</v>
      </c>
      <c r="D48" s="53"/>
      <c r="E48" s="56"/>
      <c r="F48" s="53"/>
      <c r="G48" s="53"/>
      <c r="H48" s="53"/>
      <c r="I48" s="55" t="s">
        <v>94</v>
      </c>
      <c r="J48" s="56" t="str">
        <f>LEFT(J46,4)&amp;RIGHT(J46,13)&amp;"-"&amp;J47</f>
        <v>T0240250006-01-01-</v>
      </c>
      <c r="K48" s="53"/>
      <c r="L48" s="53"/>
      <c r="M48" s="53"/>
      <c r="N48" s="57"/>
    </row>
    <row r="49" ht="35.15" customHeight="1" spans="1:14">
      <c r="A49" s="52" t="s">
        <v>95</v>
      </c>
      <c r="B49" s="61"/>
      <c r="C49" s="61"/>
      <c r="D49" s="61"/>
      <c r="E49" s="61"/>
      <c r="F49" s="62"/>
      <c r="G49" s="63" t="s">
        <v>96</v>
      </c>
      <c r="H49" s="63"/>
      <c r="I49" s="63"/>
      <c r="J49" s="63"/>
      <c r="K49" s="63"/>
      <c r="L49" s="63"/>
      <c r="M49" s="63"/>
      <c r="N49" s="63"/>
    </row>
    <row r="50" ht="35.15" customHeight="1" spans="1:14">
      <c r="A50" s="52" t="s">
        <v>97</v>
      </c>
      <c r="B50" s="61"/>
      <c r="C50" s="61"/>
      <c r="D50" s="61"/>
      <c r="E50" s="61"/>
      <c r="F50" s="62"/>
      <c r="G50" s="63"/>
      <c r="H50" s="63"/>
      <c r="I50" s="63"/>
      <c r="J50" s="63"/>
      <c r="K50" s="63"/>
      <c r="L50" s="63"/>
      <c r="M50" s="63"/>
      <c r="N50" s="63"/>
    </row>
  </sheetData>
  <mergeCells count="223">
    <mergeCell ref="A1:N1"/>
    <mergeCell ref="A2:L2"/>
    <mergeCell ref="M2:N2"/>
    <mergeCell ref="C4:D4"/>
    <mergeCell ref="E4:G4"/>
    <mergeCell ref="H4:I4"/>
    <mergeCell ref="J4:K4"/>
    <mergeCell ref="L4:M4"/>
    <mergeCell ref="C5:D5"/>
    <mergeCell ref="E5:G5"/>
    <mergeCell ref="H5:I5"/>
    <mergeCell ref="J5:K5"/>
    <mergeCell ref="L5:M5"/>
    <mergeCell ref="C6:D6"/>
    <mergeCell ref="E6:G6"/>
    <mergeCell ref="H6:I6"/>
    <mergeCell ref="J6:K6"/>
    <mergeCell ref="L6:M6"/>
    <mergeCell ref="C7:D7"/>
    <mergeCell ref="E7:G7"/>
    <mergeCell ref="H7:I7"/>
    <mergeCell ref="J7:K7"/>
    <mergeCell ref="L7:M7"/>
    <mergeCell ref="C8:D8"/>
    <mergeCell ref="E8:G8"/>
    <mergeCell ref="H8:I8"/>
    <mergeCell ref="J8:K8"/>
    <mergeCell ref="L8:M8"/>
    <mergeCell ref="C9:D9"/>
    <mergeCell ref="E9:G9"/>
    <mergeCell ref="H9:I9"/>
    <mergeCell ref="J9:K9"/>
    <mergeCell ref="L9:M9"/>
    <mergeCell ref="C10:D10"/>
    <mergeCell ref="E10:G10"/>
    <mergeCell ref="H10:I10"/>
    <mergeCell ref="J10:K10"/>
    <mergeCell ref="L10:M10"/>
    <mergeCell ref="C11:D11"/>
    <mergeCell ref="E11:G11"/>
    <mergeCell ref="H11:I11"/>
    <mergeCell ref="J11:K11"/>
    <mergeCell ref="L11:M11"/>
    <mergeCell ref="C12:D12"/>
    <mergeCell ref="E12:G12"/>
    <mergeCell ref="H12:I12"/>
    <mergeCell ref="J12:K12"/>
    <mergeCell ref="L12:M12"/>
    <mergeCell ref="C13:D13"/>
    <mergeCell ref="E13:G13"/>
    <mergeCell ref="H13:I13"/>
    <mergeCell ref="J13:K13"/>
    <mergeCell ref="L13:M13"/>
    <mergeCell ref="C14:D14"/>
    <mergeCell ref="E14:G14"/>
    <mergeCell ref="H14:I14"/>
    <mergeCell ref="J14:K14"/>
    <mergeCell ref="L14:M14"/>
    <mergeCell ref="C15:D15"/>
    <mergeCell ref="E15:G15"/>
    <mergeCell ref="H15:I15"/>
    <mergeCell ref="J15:K15"/>
    <mergeCell ref="L15:M15"/>
    <mergeCell ref="C16:D16"/>
    <mergeCell ref="E16:G16"/>
    <mergeCell ref="H16:I16"/>
    <mergeCell ref="J16:K16"/>
    <mergeCell ref="L16:M16"/>
    <mergeCell ref="C17:D17"/>
    <mergeCell ref="E17:G17"/>
    <mergeCell ref="H17:I17"/>
    <mergeCell ref="J17:K17"/>
    <mergeCell ref="L17:M17"/>
    <mergeCell ref="C18:D18"/>
    <mergeCell ref="E18:G18"/>
    <mergeCell ref="H18:I18"/>
    <mergeCell ref="J18:K18"/>
    <mergeCell ref="L18:M18"/>
    <mergeCell ref="C19:D19"/>
    <mergeCell ref="E19:G19"/>
    <mergeCell ref="H19:I19"/>
    <mergeCell ref="J19:K19"/>
    <mergeCell ref="L19:M19"/>
    <mergeCell ref="C20:D20"/>
    <mergeCell ref="E20:G20"/>
    <mergeCell ref="H20:I20"/>
    <mergeCell ref="J20:K20"/>
    <mergeCell ref="L20:M20"/>
    <mergeCell ref="C21:D21"/>
    <mergeCell ref="E21:G21"/>
    <mergeCell ref="H21:I21"/>
    <mergeCell ref="J21:K21"/>
    <mergeCell ref="L21:M21"/>
    <mergeCell ref="C22:D22"/>
    <mergeCell ref="E22:G22"/>
    <mergeCell ref="H22:I22"/>
    <mergeCell ref="J22:K22"/>
    <mergeCell ref="L22:M22"/>
    <mergeCell ref="C23:D23"/>
    <mergeCell ref="E23:G23"/>
    <mergeCell ref="H23:I23"/>
    <mergeCell ref="J23:K23"/>
    <mergeCell ref="L23:M23"/>
    <mergeCell ref="C24:D24"/>
    <mergeCell ref="E24:G24"/>
    <mergeCell ref="H24:I24"/>
    <mergeCell ref="J24:K24"/>
    <mergeCell ref="L24:M24"/>
    <mergeCell ref="C25:D25"/>
    <mergeCell ref="E25:G25"/>
    <mergeCell ref="H25:I25"/>
    <mergeCell ref="J25:K25"/>
    <mergeCell ref="L25:M25"/>
    <mergeCell ref="C26:D26"/>
    <mergeCell ref="E26:G26"/>
    <mergeCell ref="H26:I26"/>
    <mergeCell ref="J26:K26"/>
    <mergeCell ref="L26:M26"/>
    <mergeCell ref="C27:D27"/>
    <mergeCell ref="E27:G27"/>
    <mergeCell ref="H27:I27"/>
    <mergeCell ref="J27:K27"/>
    <mergeCell ref="L27:M27"/>
    <mergeCell ref="C28:D28"/>
    <mergeCell ref="E28:G28"/>
    <mergeCell ref="H28:I28"/>
    <mergeCell ref="J28:K28"/>
    <mergeCell ref="L28:M28"/>
    <mergeCell ref="C29:D29"/>
    <mergeCell ref="E29:G29"/>
    <mergeCell ref="H29:I29"/>
    <mergeCell ref="J29:K29"/>
    <mergeCell ref="L29:M29"/>
    <mergeCell ref="C30:D30"/>
    <mergeCell ref="E30:G30"/>
    <mergeCell ref="H30:I30"/>
    <mergeCell ref="J30:K30"/>
    <mergeCell ref="L30:M30"/>
    <mergeCell ref="C31:D31"/>
    <mergeCell ref="E31:G31"/>
    <mergeCell ref="H31:I31"/>
    <mergeCell ref="J31:K31"/>
    <mergeCell ref="L31:M31"/>
    <mergeCell ref="C32:D32"/>
    <mergeCell ref="E32:G32"/>
    <mergeCell ref="H32:I32"/>
    <mergeCell ref="J32:K32"/>
    <mergeCell ref="L32:M32"/>
    <mergeCell ref="C33:D33"/>
    <mergeCell ref="E33:G33"/>
    <mergeCell ref="H33:I33"/>
    <mergeCell ref="J33:K33"/>
    <mergeCell ref="L33:M33"/>
    <mergeCell ref="C34:D34"/>
    <mergeCell ref="E34:G34"/>
    <mergeCell ref="H34:I34"/>
    <mergeCell ref="J34:K34"/>
    <mergeCell ref="L34:M34"/>
    <mergeCell ref="C35:D35"/>
    <mergeCell ref="E35:G35"/>
    <mergeCell ref="H35:I35"/>
    <mergeCell ref="J35:K35"/>
    <mergeCell ref="L35:M35"/>
    <mergeCell ref="C36:D36"/>
    <mergeCell ref="E36:G36"/>
    <mergeCell ref="H36:I36"/>
    <mergeCell ref="J36:K36"/>
    <mergeCell ref="L36:M36"/>
    <mergeCell ref="C37:D37"/>
    <mergeCell ref="E37:G37"/>
    <mergeCell ref="H37:I37"/>
    <mergeCell ref="J37:K37"/>
    <mergeCell ref="L37:M37"/>
    <mergeCell ref="C38:D38"/>
    <mergeCell ref="E38:G38"/>
    <mergeCell ref="H38:I38"/>
    <mergeCell ref="J38:K38"/>
    <mergeCell ref="L38:M38"/>
    <mergeCell ref="C39:D39"/>
    <mergeCell ref="E39:G39"/>
    <mergeCell ref="H39:I39"/>
    <mergeCell ref="J39:K39"/>
    <mergeCell ref="L39:M39"/>
    <mergeCell ref="C40:D40"/>
    <mergeCell ref="E40:G40"/>
    <mergeCell ref="H40:I40"/>
    <mergeCell ref="J40:K40"/>
    <mergeCell ref="L40:M40"/>
    <mergeCell ref="C41:D41"/>
    <mergeCell ref="E41:G41"/>
    <mergeCell ref="H41:I41"/>
    <mergeCell ref="J41:K41"/>
    <mergeCell ref="L41:M41"/>
    <mergeCell ref="C42:D42"/>
    <mergeCell ref="E42:G42"/>
    <mergeCell ref="H42:I42"/>
    <mergeCell ref="J42:K42"/>
    <mergeCell ref="L42:M42"/>
    <mergeCell ref="C43:D43"/>
    <mergeCell ref="E43:G43"/>
    <mergeCell ref="H43:I43"/>
    <mergeCell ref="J43:K43"/>
    <mergeCell ref="L43:M43"/>
    <mergeCell ref="C44:D44"/>
    <mergeCell ref="E44:G44"/>
    <mergeCell ref="H44:I44"/>
    <mergeCell ref="J44:K44"/>
    <mergeCell ref="L44:M44"/>
    <mergeCell ref="A45:B45"/>
    <mergeCell ref="C45:H45"/>
    <mergeCell ref="J45:N45"/>
    <mergeCell ref="A46:B46"/>
    <mergeCell ref="C46:H46"/>
    <mergeCell ref="J46:N46"/>
    <mergeCell ref="A47:B47"/>
    <mergeCell ref="C47:H47"/>
    <mergeCell ref="J47:N47"/>
    <mergeCell ref="A48:B48"/>
    <mergeCell ref="C48:H48"/>
    <mergeCell ref="J48:N48"/>
    <mergeCell ref="A49:F49"/>
    <mergeCell ref="A50:F50"/>
    <mergeCell ref="G49:N50"/>
  </mergeCells>
  <hyperlinks>
    <hyperlink ref="N9" r:id="rId5" display="https://detail.tmall.com/item.htm?app=chrome&amp;bxsign=scdS1Qgs7MsdREw36OglNPTCz9MfPYMxZhY8eFTM1Hkt6Q2bDPebhEi0A3CGhI86W1oHh4YzCuXx5O4eRMflQRJsKXGGzi9mcI71PMP73arSorOwrV7YWZDnGQRlU78IvH7&amp;cpp=1&amp;id=616903112704&amp;share_crt_v=1&amp;shareurl=true&amp;short_name=h.7GoSCPSq0WSnbRJ&amp;sp_tk=dHBObVU5cUVEQ2E%3D&amp;spm=a2159r.13376460.0.0&amp;tbSocialPopKey=shareItem&amp;tk=tpNmU9qEDCa&amp;un=742fb68170c9c41f1d47af8e7279b96e&amp;un_site=0&amp;ut_sk=1.aFJZxn5VMxYDANfqjI%2FGRJff_21646297_1770366102762.GoodsTitleURL.1&amp;wxsign=tbw2MU_phux3hrqjhvZE-vZflIUVba87hmqvkYbWViPWXDZ_oOgwpjhqMvDK685z_qGvR8SuYI8Una1NYjGvkmjMb-iQtge5s306DqhHX-2WtjFw2uPfMO4aXZJmaLxqEzk&amp;skuId=4523731970400"/>
    <hyperlink ref="N5" r:id="rId6" display="https://item.taobao.com/item.htm?id=965727336507&amp;pisk=fYJn1T6S5B5QLGahcfXI1gIoLhlT9y65PUeRyTQr_N712Dg7eTAMcUbKVX6psaYwSwyKAX1Pre_9y8KpECwkc39KATnCdH65Uq3xHaxBATslmwXWK5-NchzPzMojARtdUq3xEgyXI4ByvCm0JWCN5g2Fzg8PQASl7MSPaU7N_iSzLTWyuZiqhOzBHDXGor5_wy4rwgQ2Yw-pvd-akZxFi82l-Mfh9H7gU8JMafkRgwlbXa6dRFIHPxwCL_AX2gYnKJ8kcdTGbEkuHw-6DICBLbeAi9_hwpW04v-GKwf2KeZzLE-M4ICMBmkfK97ew9t8m2KMKeKBI3Ez_9Xpssvh3g8L_Sk9v8sZ2dP7N6S1jZ3_eq8ht34V0cmgM31Ffi_xjcVS46S1XNiijSwhTGsB3&amp;spm=a1z10.3-c-s.w4002-25260064094.29.5ab53f9fea3dyf&amp;skuId=5905078516977"/>
    <hyperlink ref="N6" r:id="rId7" display="https://item.taobao.com/item.htm?app=chrome&amp;bxsign=scdaYW_UxY17KPAvxFAUMMjmr7UH7mtPcULoB8gTFEy5_s6KZQ-3e6qn6bmPJBr6_Gnmo7BQgvPCQksPym4fAJJG35R5roypOETqkSe2TJe0600MWn4Hw3Zrdq3B504mr5p&amp;cpp=1&amp;id=761392726165&amp;share_crt_v=1&amp;shareurl=true&amp;short_name=h.7G15kO1TV6TBd55&amp;sp_tk=MVB0aVU5Sm10MEk%3D&amp;spm=a2159r.13376460.0.0&amp;tbSocialPopKey=shareItem&amp;tk=1PtiU9Jmt0I&amp;un=742fb68170c9c41f1d47af8e7279b96e&amp;un_site=0&amp;ut_sk=1.aFJZxn5VMxYDANfqjI%2FGRJff_21646297_1770366102762.GoodsTitleURL.1&amp;wxsign=tbwJ4uFmJbXrIZhH3tJdYHiKDB_kat3a6BqrzK-HLdPjdByFCkiao2-CrvwaNXsxIZ4S0P5_EE9dtT--IwWo-XB4grKY144TnFsd4DXd-EAJrQgXniBx0OP2SIm-Li5sh3K"/>
    <hyperlink ref="N7" r:id="rId8" display="https://item.taobao.com/item.htm?app=chrome&amp;bxsign=scd4T-hpbmQoFL5blhl9_lqO0X2pZTXF5dGblKc5K2Rg9oouGCrBwiUiGqCz1w-_kD7z1Vxsy-KYeQK-_t1tTBlr_oUsvhf7SPF_5r7kECDGoVMPOGnJqOidanmoqP0Q9KQ&amp;cpp=1&amp;id=927792496359&amp;share_crt_v=1&amp;shareurl=true&amp;short_name=h.7GLfGtb4qHJ3uVE&amp;sp_tk=N2gzWVU5SnRRRmQ%3D&amp;spm=a2159r.13376460.0.0&amp;tbSocialPopKey=shareItem&amp;tk=7h3YU9JtQFd&amp;un=742fb68170c9c41f1d47af8e7279b96e&amp;un_site=0&amp;ut_sk=1.aFJZxn5VMxYDANfqjI%2FGRJff_21646297_1770366102762.GoodsTitleURL.1&amp;wxsign=tbwje4rLWx1oCYQgGvJ7uS89V1LaQR2BFsirFCsbyl16XdPDO8nfp0Ecrl7ekB83oz7qJSDxNKi3yOPhXtUF-O6uvLDGkCJLhV9r4lR58Tx5ncfIQJAMr_xyndRnTAv1EOB&amp;skuId=5975999127938"/>
    <hyperlink ref="N21" r:id="rId9" display="https://item.taobao.com/item.htm?ali_refid=a3_430582_1006%3A1106518385%3AN%3Au1UBpBGjnZWCVyl0O%2Bv8QcjEnkybG3us%3A41639aa95e9c23aa0470744254b63272&amp;ali_trackid=1_41639aa95e9c23aa0470744254b63272&amp;id=567952159835&amp;mi_id=0000KeqmNSsD4H24mAwYseCaesCHR69gvqmkNbKrAaMGOa8&amp;mm_sceneid=1_0_45268066_0&amp;priceTId=2147806a17720878437717316e1963&amp;skuId=4206983090604&amp;spm=a21n57.1.hoverItem.1&amp;utparam=%7B%22aplus_abtest%22%3A%2233fbf6e6fdffafe36ee81b8e1c97131c%22%7D&amp;xxc=ad_ztc"/>
    <hyperlink ref="N15" r:id="rId10" display="https://item.taobao.com/item.htm?id=803132423141&amp;spm=a21m98.27004841"/>
    <hyperlink ref="N22" r:id="rId11" display="https://item.taobao.com/item.htm?id=789769868628"/>
    <hyperlink ref="N23" r:id="rId12" display="https://item.taobao.com/item.htm?abbucket=3&amp;id=1005819222604&amp;mi_id=00004ajQwC3AKcO8-QlaurgsdyrzSbOWUH00DYkrUMMdTjY&amp;ns=1&amp;priceTId=2150414617720911120964134e19dd&amp;spm=a21n57.1.hoverItem.22&amp;utparam=%7B%22aplus_abtest%22%3A%22d4117b8ab4e2c4cced38c5048d1a49be%22%7D&amp;xxc=taobaoSearch"/>
    <hyperlink ref="N18" r:id="rId13" display="https://item.taobao.com/item.htm?app=chrome&amp;bxsign=scdlQNrOSOxq3WZ_JNCSYaZf9jOl4_q98jlRdGVE8Cv6BJYNe5aeH_h9JQYdHJ_qs3XOCJqXv7jgNqT3O6jAZ9e1IIhl6LKe_hySuvLCEc9zYmxzrGd2BDX76WIpxzdyK2L&amp;cpp=1&amp;id=583793893605&amp;price=0.2&amp;shareUniqueId=35192975026&amp;share_crt_v=1&amp;shareurl=true&amp;short_name=h.ia2qaCOxwxZRGSL&amp;sourceType=item&amp;sp_tk=QmF1b1VxSWRHWjc%3D&amp;spm=a2159r.13376460.0.0&amp;suid=263ee345-8ea0-43c7-830d-17390cc8927b&amp;tbSocialPopKey=shareItem&amp;tk=BauoUqIdGZ7&amp;un=742fb68170c9c41f1d47af8e7279b96e&amp;un_site=0&amp;ut_sk=1.aZzwSuciuFoDAKZgcMU250GX_21646297_1772081231731.Copy.1&amp;wxsign=tbwgM2ZnoKRHEXYmn70U7U__6AyGu8v0iMxpRAYkps24Q9crWQHRtTj0QAIuIXvkxknJWVIDnxRtXJMWJiQ8LS8Wi4AMpxWOVJRcj1wAJbwCFVDWSKv0uHfbmE3mhbWZsj4"/>
    <hyperlink ref="N19" r:id="rId14" display="https://item.taobao.com/item.htm?app=chrome&amp;bxsign=scd9-Ys-c6ZSUNMZc92VTPsBiqD8O8nQYAMUhffHRSg8J2L6beIkrdAqvJj5khP0dE9hO0WTFaR6Wj5wJNjGARBqyc6Q-WZLXtnwptqFYQ3SYJcWm8joloqeQAF76IrxTUk&amp;cpp=1&amp;h5_spm=a-tb-item.b-tb-item&amp;id=703058753911&amp;share_crt_v=1&amp;shareurl=true&amp;short_name=h.i04VNEyCbFvWubr&amp;sp_tk=dWNuaFVxSWpJeDQ%3D&amp;spm=a2159r.13376460.0.0&amp;tbSocialPopKey=shareItem&amp;tk=ucnhUqIjIx4&amp;un=742fb68170c9c41f1d47af8e7279b96e&amp;un_site=0&amp;ut_sk=1.aZzwSuciuFoDAKZgcMU250GX_21646297_1772081231731.TaoPassword-WeiXin.1&amp;wxsign=tbwoV0fP8WwY7w20Uez1J7P5fMzTlEJk2VSAMVMnXMsTKT5_eXTEwxwIzXJ86-ufvFiI9p-y_Td1SrD5sUjhOk2Zr928EypsfC8sFONuZ76a5h6AUrIDALIw1DAcEDFsaZx&amp;x-ssr=true"/>
    <hyperlink ref="N20" r:id="rId15" display="https://item.taobao.com/item.htm?abbucket=3&amp;id=630734584468&amp;mi_id=0000OcmZ-2wJKZYRLPqCEI1g1S_gOJ1dEdcqpJ-6vn-MC2o&amp;ns=1&amp;priceTId=2147837317720821582153904e18f2&amp;spm=a21n57.1.hoverItem.13&amp;utparam=%7B%22aplus_abtest%22%3A%22857d03c9871e5b2b71501890bf94cbb1%22%7D&amp;xxc=taobaoSearch&amp;sku_properties=-1%3A-2"/>
    <hyperlink ref="N26" r:id="rId16" display="https://item.taobao.com/item.htm?from=cart&amp;id=631926212362&amp;mi_id=0000bzHlHXa4uvlUHLf9ZtEfGxnpirVSI57DzlDFMP53KhE&amp;skuId=5083632269169&amp;spm=a1z0d.6639537%2F202410.item.d631926212362.1b1d7484WJK0rq&amp;upStreamPrice=21100"/>
  </hyperlinks>
  <printOptions horizontalCentered="1"/>
  <pageMargins left="0.707638888888889" right="0.707638888888889" top="0.747916666666667" bottom="0.275" header="0.313888888888889" footer="0.313888888888889"/>
  <pageSetup paperSize="8" scale="55" orientation="portrait"/>
  <headerFooter>
    <oddHeader>&amp;L&amp;G&amp;C&amp;"宋体,常规"&amp;16浙 江 三 花 汽 车 零 部 件 有 限 公 司&amp;R第&amp;P页 共2页</oddHeader>
  </headerFooter>
  <drawing r:id="rId2"/>
  <legacyDrawing r:id="rId3"/>
  <legacyDrawingHF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topLeftCell="A2" workbookViewId="0">
      <selection activeCell="A1" sqref="A1:A14"/>
    </sheetView>
  </sheetViews>
  <sheetFormatPr defaultColWidth="8.66666666666667" defaultRowHeight="14.25"/>
  <cols>
    <col min="1" max="1" width="65.0833333333333" customWidth="1"/>
    <col min="2" max="2" width="12.6666666666667" customWidth="1"/>
    <col min="7" max="7" width="22.9166666666667" customWidth="1"/>
    <col min="9" max="9" width="19.1666666666667" customWidth="1"/>
  </cols>
  <sheetData>
    <row r="1" ht="42.75" spans="1:9">
      <c r="A1" s="1" t="s">
        <v>35</v>
      </c>
      <c r="B1" s="2" t="s">
        <v>98</v>
      </c>
      <c r="C1" t="s">
        <v>99</v>
      </c>
      <c r="D1" s="3">
        <v>2</v>
      </c>
      <c r="E1" s="4" t="s">
        <v>100</v>
      </c>
      <c r="F1" t="s">
        <v>101</v>
      </c>
      <c r="G1" s="2" t="s">
        <v>102</v>
      </c>
      <c r="H1" s="5" t="s">
        <v>103</v>
      </c>
      <c r="I1" s="6">
        <v>9980000658009</v>
      </c>
    </row>
    <row r="2" ht="42.75" spans="1:9">
      <c r="A2" s="1" t="s">
        <v>37</v>
      </c>
      <c r="B2" s="2" t="s">
        <v>104</v>
      </c>
      <c r="C2" t="s">
        <v>99</v>
      </c>
      <c r="D2" s="3">
        <v>1</v>
      </c>
      <c r="E2" s="4" t="s">
        <v>105</v>
      </c>
      <c r="F2" t="s">
        <v>106</v>
      </c>
      <c r="G2" s="2" t="s">
        <v>107</v>
      </c>
      <c r="H2" s="5" t="s">
        <v>108</v>
      </c>
      <c r="I2" s="6">
        <v>9980000658010</v>
      </c>
    </row>
    <row r="3" ht="42.75" spans="1:9">
      <c r="A3" s="1" t="s">
        <v>39</v>
      </c>
      <c r="B3" s="2" t="s">
        <v>109</v>
      </c>
      <c r="C3" t="s">
        <v>99</v>
      </c>
      <c r="D3" s="3">
        <v>2</v>
      </c>
      <c r="E3" s="4" t="s">
        <v>110</v>
      </c>
      <c r="F3" t="s">
        <v>106</v>
      </c>
      <c r="G3" s="2" t="s">
        <v>111</v>
      </c>
      <c r="H3" s="5" t="s">
        <v>112</v>
      </c>
      <c r="I3" s="6">
        <v>9980000658011</v>
      </c>
    </row>
    <row r="4" ht="42.75" spans="1:9">
      <c r="A4" s="1" t="s">
        <v>41</v>
      </c>
      <c r="B4" s="2" t="s">
        <v>109</v>
      </c>
      <c r="C4" t="s">
        <v>99</v>
      </c>
      <c r="D4" s="3">
        <v>2</v>
      </c>
      <c r="E4" s="4" t="s">
        <v>110</v>
      </c>
      <c r="F4" t="s">
        <v>106</v>
      </c>
      <c r="G4" s="2" t="s">
        <v>113</v>
      </c>
      <c r="H4" s="5" t="s">
        <v>112</v>
      </c>
      <c r="I4" s="6">
        <v>9980000658014</v>
      </c>
    </row>
    <row r="5" ht="42.75" spans="1:9">
      <c r="A5" s="1" t="s">
        <v>43</v>
      </c>
      <c r="B5" s="2" t="s">
        <v>114</v>
      </c>
      <c r="C5" t="s">
        <v>99</v>
      </c>
      <c r="D5" s="3">
        <v>1</v>
      </c>
      <c r="E5" s="4" t="s">
        <v>110</v>
      </c>
      <c r="F5" t="s">
        <v>106</v>
      </c>
      <c r="G5" s="2" t="s">
        <v>115</v>
      </c>
      <c r="H5" s="5" t="s">
        <v>112</v>
      </c>
      <c r="I5" s="6">
        <v>9980000658016</v>
      </c>
    </row>
    <row r="6" ht="42.75" spans="1:9">
      <c r="A6" s="1" t="s">
        <v>45</v>
      </c>
      <c r="B6" s="2" t="s">
        <v>116</v>
      </c>
      <c r="C6" t="s">
        <v>99</v>
      </c>
      <c r="D6" s="3">
        <v>1</v>
      </c>
      <c r="E6" s="4" t="s">
        <v>110</v>
      </c>
      <c r="F6" t="s">
        <v>106</v>
      </c>
      <c r="G6" s="2" t="s">
        <v>117</v>
      </c>
      <c r="H6" s="5" t="s">
        <v>112</v>
      </c>
      <c r="I6" s="6">
        <v>9980000658017</v>
      </c>
    </row>
    <row r="7" ht="42.75" spans="1:9">
      <c r="A7" s="1" t="s">
        <v>48</v>
      </c>
      <c r="B7" s="2" t="s">
        <v>118</v>
      </c>
      <c r="C7" t="s">
        <v>99</v>
      </c>
      <c r="D7" s="3">
        <v>1</v>
      </c>
      <c r="E7" s="4" t="s">
        <v>110</v>
      </c>
      <c r="F7" t="s">
        <v>106</v>
      </c>
      <c r="G7" s="2" t="s">
        <v>119</v>
      </c>
      <c r="H7" s="5" t="s">
        <v>112</v>
      </c>
      <c r="I7" s="6">
        <v>9980000658018</v>
      </c>
    </row>
    <row r="8" ht="42.75" spans="1:9">
      <c r="A8" s="1" t="s">
        <v>51</v>
      </c>
      <c r="B8" s="2" t="s">
        <v>118</v>
      </c>
      <c r="C8" t="s">
        <v>99</v>
      </c>
      <c r="D8" s="3">
        <v>1</v>
      </c>
      <c r="E8" s="4" t="s">
        <v>110</v>
      </c>
      <c r="F8" t="s">
        <v>106</v>
      </c>
      <c r="G8" s="2" t="s">
        <v>120</v>
      </c>
      <c r="H8" s="5" t="s">
        <v>112</v>
      </c>
      <c r="I8" s="6">
        <v>9980000658019</v>
      </c>
    </row>
    <row r="9" ht="42.75" spans="1:9">
      <c r="A9" s="1" t="s">
        <v>53</v>
      </c>
      <c r="B9" s="2" t="s">
        <v>121</v>
      </c>
      <c r="C9" t="s">
        <v>99</v>
      </c>
      <c r="D9" s="3">
        <v>30</v>
      </c>
      <c r="E9" s="4" t="s">
        <v>110</v>
      </c>
      <c r="F9" t="s">
        <v>106</v>
      </c>
      <c r="G9" s="2" t="s">
        <v>122</v>
      </c>
      <c r="H9" s="5" t="s">
        <v>112</v>
      </c>
      <c r="I9" s="6">
        <v>9980000658021</v>
      </c>
    </row>
    <row r="10" ht="42.75" spans="1:9">
      <c r="A10" s="1" t="s">
        <v>56</v>
      </c>
      <c r="B10" s="2" t="s">
        <v>123</v>
      </c>
      <c r="C10" t="s">
        <v>99</v>
      </c>
      <c r="D10" s="3">
        <v>1</v>
      </c>
      <c r="E10" s="4" t="s">
        <v>110</v>
      </c>
      <c r="F10" t="s">
        <v>106</v>
      </c>
      <c r="G10" s="2" t="s">
        <v>124</v>
      </c>
      <c r="H10" s="5" t="s">
        <v>112</v>
      </c>
      <c r="I10" s="6">
        <v>9980000658022</v>
      </c>
    </row>
    <row r="11" ht="42.75" spans="1:9">
      <c r="A11" s="1" t="s">
        <v>59</v>
      </c>
      <c r="B11" s="2" t="s">
        <v>125</v>
      </c>
      <c r="C11" t="s">
        <v>99</v>
      </c>
      <c r="D11" s="3">
        <v>1</v>
      </c>
      <c r="E11" s="4" t="s">
        <v>110</v>
      </c>
      <c r="F11" t="s">
        <v>106</v>
      </c>
      <c r="G11" s="2" t="s">
        <v>126</v>
      </c>
      <c r="H11" s="5" t="s">
        <v>112</v>
      </c>
      <c r="I11" s="6">
        <v>9980000658023</v>
      </c>
    </row>
    <row r="12" ht="42.75" spans="1:9">
      <c r="A12" s="1" t="s">
        <v>62</v>
      </c>
      <c r="B12" s="2" t="s">
        <v>127</v>
      </c>
      <c r="C12" t="s">
        <v>99</v>
      </c>
      <c r="D12" s="3">
        <v>50</v>
      </c>
      <c r="E12" s="4" t="s">
        <v>110</v>
      </c>
      <c r="F12" t="s">
        <v>106</v>
      </c>
      <c r="G12" s="2" t="s">
        <v>128</v>
      </c>
      <c r="H12" s="5" t="s">
        <v>112</v>
      </c>
      <c r="I12" s="6">
        <v>9980000658024</v>
      </c>
    </row>
    <row r="13" ht="42.75" spans="1:9">
      <c r="A13" s="1" t="s">
        <v>65</v>
      </c>
      <c r="B13" s="2" t="s">
        <v>129</v>
      </c>
      <c r="C13" t="s">
        <v>99</v>
      </c>
      <c r="D13" s="3">
        <v>4</v>
      </c>
      <c r="E13" s="4" t="s">
        <v>110</v>
      </c>
      <c r="F13" t="s">
        <v>106</v>
      </c>
      <c r="G13" s="2" t="s">
        <v>130</v>
      </c>
      <c r="H13" s="5" t="s">
        <v>112</v>
      </c>
      <c r="I13" s="6">
        <v>9980000658026</v>
      </c>
    </row>
    <row r="14" ht="42.75" spans="1:9">
      <c r="A14" s="1" t="s">
        <v>68</v>
      </c>
      <c r="B14" s="2" t="s">
        <v>125</v>
      </c>
      <c r="C14" t="s">
        <v>99</v>
      </c>
      <c r="D14" s="3">
        <v>1</v>
      </c>
      <c r="E14" s="4" t="s">
        <v>110</v>
      </c>
      <c r="F14" t="s">
        <v>106</v>
      </c>
      <c r="G14" s="7" t="s">
        <v>131</v>
      </c>
      <c r="H14" s="5" t="s">
        <v>112</v>
      </c>
      <c r="I14" s="6">
        <v>9980000658030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技术变更通知单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冷冷</cp:lastModifiedBy>
  <dcterms:created xsi:type="dcterms:W3CDTF">2015-06-05T18:19:00Z</dcterms:created>
  <cp:lastPrinted>2024-03-29T07:52:00Z</cp:lastPrinted>
  <dcterms:modified xsi:type="dcterms:W3CDTF">2026-07-28T10:32:39Z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2052-12.1.0.25860</vt:lpwstr>
  </property>
  <property fmtid="{D5CDD505-2E9C-101B-9397-08002B2CF9AE}" pid="3" name="ICV">
    <vt:lpwstr>2ECEDDDDE1E5410281E36EC4CF8C5EFA_13</vt:lpwstr>
  </property>
  <property fmtid="{D5CDD505-2E9C-101B-9397-08002B2CF9AE}" pid="4" name="CalculationRule">
    <vt:i4>0</vt:i4>
  </property>
</Properties>
</file>