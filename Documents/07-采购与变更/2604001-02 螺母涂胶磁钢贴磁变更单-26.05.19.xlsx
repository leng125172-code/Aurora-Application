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610" windowHeight="15710"/>
  </bookViews>
  <sheets>
    <sheet name="技术变更通知单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wangzongde</author>
  </authors>
  <commentList>
    <comment ref="A1" authorId="0">
      <text>
        <r>
          <rPr>
            <sz val="9"/>
            <rFont val="宋体"/>
            <charset val="134"/>
          </rPr>
          <t>wangzongde:
****：代表项目号后四位数字；
****：代表子工站编号
示例：8002_OP10装电机腔盖部件_技术变更单</t>
        </r>
      </text>
    </comment>
  </commentList>
</comments>
</file>

<file path=xl/sharedStrings.xml><?xml version="1.0" encoding="utf-8"?>
<sst xmlns="http://schemas.openxmlformats.org/spreadsheetml/2006/main" count="193" uniqueCount="116">
  <si>
    <t>4001_OP20 RA030RA040螺母涂胶磁钢贴磁 技术变更单</t>
  </si>
  <si>
    <t>文件编号：</t>
  </si>
  <si>
    <t xml:space="preserve"> 版本号：V1.10</t>
  </si>
  <si>
    <t>编制</t>
  </si>
  <si>
    <t>标准化</t>
  </si>
  <si>
    <t>校对</t>
  </si>
  <si>
    <t>审核</t>
  </si>
  <si>
    <t>批准</t>
  </si>
  <si>
    <t>发行时间</t>
  </si>
  <si>
    <t>项目确认</t>
  </si>
  <si>
    <t>序号</t>
  </si>
  <si>
    <t>变更记录</t>
  </si>
  <si>
    <t>编号/图号</t>
  </si>
  <si>
    <t>变更前内容</t>
  </si>
  <si>
    <t>变更后内容</t>
  </si>
  <si>
    <t>变更原因</t>
  </si>
  <si>
    <t>变更时间</t>
  </si>
  <si>
    <t>备注</t>
  </si>
  <si>
    <t>4001_OP20_002</t>
  </si>
  <si>
    <t>名称：气缸 型号：CJPB6-15Z 品牌：SMC
数量：231个  料号：9980000686320</t>
  </si>
  <si>
    <t>名称：气缸 型号：CJPB6-5Z 品牌：SMC
数量：231个  料号：9980000686705</t>
  </si>
  <si>
    <t>设计变更——功能变更</t>
  </si>
  <si>
    <t>2026.05.09</t>
  </si>
  <si>
    <t>4001_OP20_006</t>
  </si>
  <si>
    <t>名称：弯接头 型号：KQ2V04-M5A 品牌：SMC 数量：231个  料号：9980000641363</t>
  </si>
  <si>
    <t>名称：接头 型号：KQ2H23-M5A 品牌：SMC 数量：231个  料号：9980000686710</t>
  </si>
  <si>
    <t>名称：接头 型号：KQ2H04-M5A 品牌：SMC 数量：231个  料号：9980000652591</t>
  </si>
  <si>
    <t>2026.05.13</t>
  </si>
  <si>
    <t>4001_OP20_019</t>
  </si>
  <si>
    <t>名称 伺服滑台 数量 46个
型号 ELS29-HP30-2-LB-L200-0-N-A-P40-S00
料号 9980000686348</t>
  </si>
  <si>
    <t>名称 伺服滑台 数量 46个
型号ELS29-30-2-LB-L200-0-N-A-P40-S00
料号 9980000690497</t>
  </si>
  <si>
    <t>设计变更——原交期不满足</t>
  </si>
  <si>
    <t>2026.05.19</t>
  </si>
  <si>
    <t>4001_OP20_020</t>
  </si>
  <si>
    <t>名称 驱动器 数量 46个
型号 JRD-FAL-A-03-E1-01-IS-A-S00
料号 9980000686350</t>
  </si>
  <si>
    <t>名称 驱动器 数量 46个
型号 GSFDmini0051DEC2-LM
料号 9980000690500</t>
  </si>
  <si>
    <t>4001_OP20_021</t>
  </si>
  <si>
    <t>名称 电源线 数量 46个
型号 BST-M8-03-A-TPU-5000
料号 9980000686353</t>
  </si>
  <si>
    <t>名称 电源线 数量 46个
型号 KPS25041501B-M8-3F-5000-JD
料号 9980000690507</t>
  </si>
  <si>
    <t>4001_OP20_022</t>
  </si>
  <si>
    <t>名称 反馈线 数量 46个
型号 BTS-M12-12-A-TPU-5000
料号 9980000686355</t>
  </si>
  <si>
    <t>名称 反馈线 数量 46个
型号 KPS-M12-12-A-PVC-5000-A1006H-2X8P
料号 9980000690512</t>
  </si>
  <si>
    <t>项目名称</t>
  </si>
  <si>
    <t>ACT转子线定子线</t>
  </si>
  <si>
    <t>项目编号</t>
  </si>
  <si>
    <t>SHIEF16-A2604001</t>
  </si>
  <si>
    <t>子站名称</t>
  </si>
  <si>
    <t>RA030RA040螺母涂胶磁钢贴磁</t>
  </si>
  <si>
    <t>子站编号</t>
  </si>
  <si>
    <t>SHIEF16-A2604001-02-15</t>
  </si>
  <si>
    <t xml:space="preserve">固定资产总站 </t>
  </si>
  <si>
    <t xml:space="preserve"> GD7M0056</t>
  </si>
  <si>
    <t>固定资产子站</t>
  </si>
  <si>
    <t xml:space="preserve"> GD7M0056-02</t>
  </si>
  <si>
    <t>自制设备编码总站</t>
  </si>
  <si>
    <t>自制设备编码子站</t>
  </si>
  <si>
    <t>总张数：  张</t>
  </si>
  <si>
    <t>浙江三花汽车零部件有限公司</t>
  </si>
  <si>
    <t>共1 页，第  1 页</t>
  </si>
  <si>
    <t>名称 工业相机 数量 2个
型号 Libra 3405UC
料号 9980000658009</t>
  </si>
  <si>
    <t>工业相机</t>
  </si>
  <si>
    <t xml:space="preserve"> 数量 </t>
  </si>
  <si>
    <t>个</t>
  </si>
  <si>
    <t>型号</t>
  </si>
  <si>
    <t>Libra 3405UC</t>
  </si>
  <si>
    <t>料号</t>
  </si>
  <si>
    <t>名称 结构光发生器 数量 1台
型号 TJ25GD
料号 9980000658010</t>
  </si>
  <si>
    <t xml:space="preserve">结构光发生器 </t>
  </si>
  <si>
    <t xml:space="preserve">台 </t>
  </si>
  <si>
    <t xml:space="preserve">型号 </t>
  </si>
  <si>
    <t xml:space="preserve">TJ25GD </t>
  </si>
  <si>
    <t xml:space="preserve">料号 </t>
  </si>
  <si>
    <t>名称 镜头 数量 2个
型号 MVL-MF2528M-10MPE
料号 9980000658011</t>
  </si>
  <si>
    <t>镜头</t>
  </si>
  <si>
    <t xml:space="preserve">个 </t>
  </si>
  <si>
    <t>MVL-MF2528M-10MPE</t>
  </si>
  <si>
    <t xml:space="preserve"> 料号 </t>
  </si>
  <si>
    <t>名称 镜头 数量 2个
型号 MVL-MF3528M-10MPE
料号 9980000658014</t>
  </si>
  <si>
    <t>MVL-MF3528M-10MPE</t>
  </si>
  <si>
    <t>名称 主板 数量 1个
型号 CX3588-G
料号 9980000658016</t>
  </si>
  <si>
    <t>主板</t>
  </si>
  <si>
    <t>CX3588-G</t>
  </si>
  <si>
    <t>名称 USB转485 数量 1个
型号 ZS-USB-RS485-4-S
料号 9980000658017</t>
  </si>
  <si>
    <t>USB转485</t>
  </si>
  <si>
    <t>ZS-USB-RS485-4-S</t>
  </si>
  <si>
    <t>名称 标定板 数量 1个
型号 棋盘格靶标
料号 9980000658018</t>
  </si>
  <si>
    <t>标定板</t>
  </si>
  <si>
    <t>棋盘格靶标</t>
  </si>
  <si>
    <t>名称 标定板 数量 1个
型号 圆点靶标
料号 9980000658019</t>
  </si>
  <si>
    <t>圆点靶标</t>
  </si>
  <si>
    <t>名称 电源连接线 数量 30个
型号 XH 2.54mm-4P
料号 9980000658021</t>
  </si>
  <si>
    <t>电源连接线</t>
  </si>
  <si>
    <t>XH 2.54mm-4P</t>
  </si>
  <si>
    <t>名称 电源 数量 1个
型号 H-PF300
料号 9980000658022</t>
  </si>
  <si>
    <t>电源</t>
  </si>
  <si>
    <t>H-PF300</t>
  </si>
  <si>
    <t>名称 端子台 数量 1个
型号 HL-PBB-2-6-SP
料号 9980000658023</t>
  </si>
  <si>
    <t>端子台</t>
  </si>
  <si>
    <t>HL-PBB-2-6-SP</t>
  </si>
  <si>
    <t>名称 连接线 数量 50个
型号 PH2.0 4P
料号 9980000658024</t>
  </si>
  <si>
    <t>连接线</t>
  </si>
  <si>
    <t>PH2.0 4P</t>
  </si>
  <si>
    <t>名称 散热器 数量 4个
型号 Radxa 6540B
料号 9980000658026</t>
  </si>
  <si>
    <t>散热器</t>
  </si>
  <si>
    <t>Radxa 6540B</t>
  </si>
  <si>
    <t>名称 端子台 数量 1个
型号 HR4C06R
料号 9980000658030</t>
  </si>
  <si>
    <t>HR4C06R</t>
  </si>
  <si>
    <t xml:space="preserve">名称 </t>
  </si>
  <si>
    <t>伺服滑台</t>
  </si>
  <si>
    <t>ELS29-HP30-2-LB-L200-0-N-A-P40-S00</t>
  </si>
  <si>
    <t>驱动器</t>
  </si>
  <si>
    <t>JRD-FAL-A-03-E1-01-IS-A-S00</t>
  </si>
  <si>
    <t>电源线</t>
  </si>
  <si>
    <t>BST-M8-03-A-TPU-5000</t>
  </si>
  <si>
    <t>反馈线</t>
  </si>
  <si>
    <t>BTS-M12-12-A-TPU-5000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</si>
</sst>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0_);[Red]\(0\)"/>
  </numFmts>
  <fonts count="35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name val="宋体"/>
      <charset val="134"/>
    </font>
    <font>
      <sz val="10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24"/>
      <color theme="1"/>
      <name val="宋体"/>
      <charset val="134"/>
    </font>
    <font>
      <sz val="14"/>
      <color theme="1"/>
      <name val="宋体"/>
      <charset val="134"/>
    </font>
    <font>
      <sz val="10"/>
      <color theme="1"/>
      <name val="宋体"/>
      <charset val="134"/>
    </font>
    <font>
      <sz val="12"/>
      <color theme="1"/>
      <name val="等线"/>
      <charset val="134"/>
      <scheme val="minor"/>
    </font>
    <font>
      <sz val="14"/>
      <name val="等线"/>
      <charset val="134"/>
      <scheme val="minor"/>
    </font>
    <font>
      <sz val="16"/>
      <color theme="1"/>
      <name val="宋体"/>
      <charset val="134"/>
    </font>
    <font>
      <u/>
      <sz val="11"/>
      <color rgb="FF80008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4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sz val="14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20" applyNumberFormat="0" applyAlignment="0" applyProtection="0">
      <alignment vertical="center"/>
    </xf>
    <xf numFmtId="0" fontId="24" fillId="5" borderId="21" applyNumberFormat="0" applyAlignment="0" applyProtection="0">
      <alignment vertical="center"/>
    </xf>
    <xf numFmtId="0" fontId="25" fillId="5" borderId="20" applyNumberFormat="0" applyAlignment="0" applyProtection="0">
      <alignment vertical="center"/>
    </xf>
    <xf numFmtId="0" fontId="26" fillId="6" borderId="22" applyNumberFormat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7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5" xfId="0" applyNumberFormat="1" applyFont="1" applyBorder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 applyProtection="1">
      <alignment vertical="center"/>
    </xf>
    <xf numFmtId="177" fontId="2" fillId="0" borderId="3" xfId="0" applyNumberFormat="1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3" xfId="0" applyFont="1" applyBorder="1" applyAlignment="1">
      <alignment horizontal="left" vertical="top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0" fillId="0" borderId="0" xfId="0" applyAlignment="1">
      <alignment horizont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/>
    </xf>
    <xf numFmtId="0" fontId="8" fillId="0" borderId="13" xfId="0" applyFont="1" applyBorder="1" applyAlignment="1">
      <alignment horizontal="center" vertical="center" wrapText="1"/>
    </xf>
    <xf numFmtId="14" fontId="6" fillId="0" borderId="11" xfId="0" applyNumberFormat="1" applyFont="1" applyBorder="1" applyAlignment="1">
      <alignment horizontal="center" vertical="center"/>
    </xf>
    <xf numFmtId="0" fontId="11" fillId="0" borderId="16" xfId="6" applyFont="1" applyBorder="1" applyAlignment="1">
      <alignment vertical="center" wrapText="1"/>
    </xf>
    <xf numFmtId="0" fontId="12" fillId="0" borderId="16" xfId="6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0" borderId="3" xfId="6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4" fillId="0" borderId="3" xfId="6" applyBorder="1" applyAlignment="1">
      <alignment vertical="center" wrapText="1"/>
    </xf>
    <xf numFmtId="14" fontId="15" fillId="0" borderId="11" xfId="0" applyNumberFormat="1" applyFont="1" applyBorder="1" applyAlignment="1">
      <alignment horizontal="center" vertical="center"/>
    </xf>
    <xf numFmtId="14" fontId="15" fillId="0" borderId="1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0" fillId="0" borderId="11" xfId="0" applyNumberFormat="1" applyFon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336550</xdr:colOff>
      <xdr:row>4</xdr:row>
      <xdr:rowOff>92710</xdr:rowOff>
    </xdr:from>
    <xdr:to>
      <xdr:col>1</xdr:col>
      <xdr:colOff>615950</xdr:colOff>
      <xdr:row>4</xdr:row>
      <xdr:rowOff>495300</xdr:rowOff>
    </xdr:to>
    <xdr:sp>
      <xdr:nvSpPr>
        <xdr:cNvPr id="2" name="等腰三角形 1"/>
        <xdr:cNvSpPr/>
      </xdr:nvSpPr>
      <xdr:spPr>
        <a:xfrm>
          <a:off x="1022350" y="148463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325120</xdr:colOff>
      <xdr:row>5</xdr:row>
      <xdr:rowOff>69850</xdr:rowOff>
    </xdr:from>
    <xdr:to>
      <xdr:col>1</xdr:col>
      <xdr:colOff>604520</xdr:colOff>
      <xdr:row>5</xdr:row>
      <xdr:rowOff>472440</xdr:rowOff>
    </xdr:to>
    <xdr:sp>
      <xdr:nvSpPr>
        <xdr:cNvPr id="3" name="等腰三角形 2"/>
        <xdr:cNvSpPr/>
      </xdr:nvSpPr>
      <xdr:spPr>
        <a:xfrm>
          <a:off x="1010920" y="208407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325755</xdr:colOff>
      <xdr:row>6</xdr:row>
      <xdr:rowOff>105410</xdr:rowOff>
    </xdr:from>
    <xdr:to>
      <xdr:col>1</xdr:col>
      <xdr:colOff>605155</xdr:colOff>
      <xdr:row>6</xdr:row>
      <xdr:rowOff>508000</xdr:rowOff>
    </xdr:to>
    <xdr:sp>
      <xdr:nvSpPr>
        <xdr:cNvPr id="4" name="等腰三角形 3"/>
        <xdr:cNvSpPr/>
      </xdr:nvSpPr>
      <xdr:spPr>
        <a:xfrm>
          <a:off x="1011555" y="274193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311785</xdr:colOff>
      <xdr:row>7</xdr:row>
      <xdr:rowOff>180340</xdr:rowOff>
    </xdr:from>
    <xdr:to>
      <xdr:col>1</xdr:col>
      <xdr:colOff>591185</xdr:colOff>
      <xdr:row>7</xdr:row>
      <xdr:rowOff>582930</xdr:rowOff>
    </xdr:to>
    <xdr:sp>
      <xdr:nvSpPr>
        <xdr:cNvPr id="5" name="等腰三角形 4"/>
        <xdr:cNvSpPr/>
      </xdr:nvSpPr>
      <xdr:spPr>
        <a:xfrm>
          <a:off x="997585" y="343916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312420</xdr:colOff>
      <xdr:row>8</xdr:row>
      <xdr:rowOff>76200</xdr:rowOff>
    </xdr:from>
    <xdr:to>
      <xdr:col>1</xdr:col>
      <xdr:colOff>591820</xdr:colOff>
      <xdr:row>8</xdr:row>
      <xdr:rowOff>478790</xdr:rowOff>
    </xdr:to>
    <xdr:sp>
      <xdr:nvSpPr>
        <xdr:cNvPr id="6" name="等腰三角形 5"/>
        <xdr:cNvSpPr/>
      </xdr:nvSpPr>
      <xdr:spPr>
        <a:xfrm>
          <a:off x="998220" y="418592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312420</xdr:colOff>
      <xdr:row>9</xdr:row>
      <xdr:rowOff>74930</xdr:rowOff>
    </xdr:from>
    <xdr:to>
      <xdr:col>1</xdr:col>
      <xdr:colOff>591820</xdr:colOff>
      <xdr:row>9</xdr:row>
      <xdr:rowOff>477520</xdr:rowOff>
    </xdr:to>
    <xdr:sp>
      <xdr:nvSpPr>
        <xdr:cNvPr id="7" name="等腰三角形 6"/>
        <xdr:cNvSpPr/>
      </xdr:nvSpPr>
      <xdr:spPr>
        <a:xfrm>
          <a:off x="998220" y="480695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311785</xdr:colOff>
      <xdr:row>10</xdr:row>
      <xdr:rowOff>203200</xdr:rowOff>
    </xdr:from>
    <xdr:to>
      <xdr:col>1</xdr:col>
      <xdr:colOff>591185</xdr:colOff>
      <xdr:row>10</xdr:row>
      <xdr:rowOff>605790</xdr:rowOff>
    </xdr:to>
    <xdr:sp>
      <xdr:nvSpPr>
        <xdr:cNvPr id="8" name="等腰三角形 7"/>
        <xdr:cNvSpPr/>
      </xdr:nvSpPr>
      <xdr:spPr>
        <a:xfrm>
          <a:off x="997585" y="5557520"/>
          <a:ext cx="279400" cy="402590"/>
        </a:xfrm>
        <a:prstGeom prst="triangl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vmlDrawing" Target="../drawings/vmlDrawing2.v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50"/>
  <sheetViews>
    <sheetView tabSelected="1" view="pageBreakPreview" zoomScale="85" zoomScaleNormal="85" workbookViewId="0">
      <selection activeCell="E15" sqref="E15:G15"/>
    </sheetView>
  </sheetViews>
  <sheetFormatPr defaultColWidth="9" defaultRowHeight="14"/>
  <cols>
    <col min="2" max="2" width="12.0833333333333" customWidth="1"/>
    <col min="3" max="6" width="12.75" customWidth="1"/>
    <col min="7" max="7" width="12.75" style="13" customWidth="1"/>
    <col min="8" max="8" width="12.75" customWidth="1"/>
    <col min="9" max="9" width="26" customWidth="1"/>
    <col min="10" max="10" width="20.75" customWidth="1"/>
    <col min="11" max="13" width="15.75" customWidth="1"/>
    <col min="14" max="14" width="26.8333333333333" customWidth="1"/>
    <col min="15" max="18" width="9" hidden="1" customWidth="1"/>
  </cols>
  <sheetData>
    <row r="1" ht="28.15" customHeight="1" spans="1:1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="12" customFormat="1" ht="20.15" customHeight="1" spans="1:14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48" t="s">
        <v>2</v>
      </c>
      <c r="N2" s="49"/>
    </row>
    <row r="3" s="12" customFormat="1" ht="41.15" customHeight="1" spans="1:14">
      <c r="A3" s="16" t="s">
        <v>3</v>
      </c>
      <c r="B3" s="17"/>
      <c r="C3" s="18" t="s">
        <v>4</v>
      </c>
      <c r="D3" s="19"/>
      <c r="E3" s="18" t="s">
        <v>5</v>
      </c>
      <c r="F3" s="19"/>
      <c r="G3" s="20" t="s">
        <v>6</v>
      </c>
      <c r="H3" s="19"/>
      <c r="I3" s="18" t="s">
        <v>7</v>
      </c>
      <c r="J3" s="19"/>
      <c r="K3" s="50" t="s">
        <v>8</v>
      </c>
      <c r="L3" s="50"/>
      <c r="M3" s="51" t="s">
        <v>9</v>
      </c>
      <c r="N3" s="52"/>
    </row>
    <row r="4" ht="20.15" customHeight="1" spans="1:14">
      <c r="A4" s="21" t="s">
        <v>10</v>
      </c>
      <c r="B4" s="21" t="s">
        <v>11</v>
      </c>
      <c r="C4" s="22" t="s">
        <v>12</v>
      </c>
      <c r="D4" s="23"/>
      <c r="E4" s="22" t="s">
        <v>13</v>
      </c>
      <c r="F4" s="23"/>
      <c r="G4" s="24"/>
      <c r="H4" s="22" t="s">
        <v>14</v>
      </c>
      <c r="I4" s="24"/>
      <c r="J4" s="25" t="s">
        <v>15</v>
      </c>
      <c r="K4" s="25"/>
      <c r="L4" s="25" t="s">
        <v>16</v>
      </c>
      <c r="M4" s="25"/>
      <c r="N4" s="25" t="s">
        <v>17</v>
      </c>
    </row>
    <row r="5" ht="49" customHeight="1" spans="1:14">
      <c r="A5" s="25">
        <v>1</v>
      </c>
      <c r="B5" s="26">
        <v>1</v>
      </c>
      <c r="C5" s="27" t="s">
        <v>18</v>
      </c>
      <c r="D5" s="28"/>
      <c r="E5" s="29" t="s">
        <v>19</v>
      </c>
      <c r="F5" s="29"/>
      <c r="G5" s="29"/>
      <c r="H5" s="30" t="s">
        <v>20</v>
      </c>
      <c r="I5" s="53"/>
      <c r="J5" s="25" t="s">
        <v>21</v>
      </c>
      <c r="K5" s="25"/>
      <c r="L5" s="54" t="s">
        <v>22</v>
      </c>
      <c r="M5" s="24"/>
      <c r="N5" s="55"/>
    </row>
    <row r="6" ht="49" customHeight="1" spans="1:14">
      <c r="A6" s="25">
        <v>2</v>
      </c>
      <c r="B6" s="26">
        <v>1</v>
      </c>
      <c r="C6" s="27" t="s">
        <v>23</v>
      </c>
      <c r="D6" s="28"/>
      <c r="E6" s="29" t="s">
        <v>24</v>
      </c>
      <c r="F6" s="29"/>
      <c r="G6" s="29"/>
      <c r="H6" s="30" t="s">
        <v>25</v>
      </c>
      <c r="I6" s="53"/>
      <c r="J6" s="25" t="s">
        <v>21</v>
      </c>
      <c r="K6" s="25"/>
      <c r="L6" s="54" t="s">
        <v>22</v>
      </c>
      <c r="M6" s="24"/>
      <c r="N6" s="56"/>
    </row>
    <row r="7" ht="49" customHeight="1" spans="1:14">
      <c r="A7" s="25">
        <v>3</v>
      </c>
      <c r="B7" s="31">
        <v>2</v>
      </c>
      <c r="C7" s="27" t="s">
        <v>23</v>
      </c>
      <c r="D7" s="28"/>
      <c r="E7" s="29" t="s">
        <v>25</v>
      </c>
      <c r="F7" s="29"/>
      <c r="G7" s="29"/>
      <c r="H7" s="30" t="s">
        <v>26</v>
      </c>
      <c r="I7" s="53"/>
      <c r="J7" s="25" t="s">
        <v>21</v>
      </c>
      <c r="K7" s="25"/>
      <c r="L7" s="54" t="s">
        <v>27</v>
      </c>
      <c r="M7" s="24"/>
      <c r="N7" s="56"/>
    </row>
    <row r="8" ht="67" customHeight="1" spans="1:14">
      <c r="A8" s="25">
        <v>4</v>
      </c>
      <c r="B8" s="31">
        <v>3</v>
      </c>
      <c r="C8" s="27" t="s">
        <v>28</v>
      </c>
      <c r="D8" s="28"/>
      <c r="E8" s="29" t="s">
        <v>29</v>
      </c>
      <c r="F8" s="29"/>
      <c r="G8" s="29"/>
      <c r="H8" s="30" t="s">
        <v>30</v>
      </c>
      <c r="I8" s="53"/>
      <c r="J8" s="25" t="s">
        <v>31</v>
      </c>
      <c r="K8" s="25"/>
      <c r="L8" s="54" t="s">
        <v>32</v>
      </c>
      <c r="M8" s="24"/>
      <c r="N8" s="57"/>
    </row>
    <row r="9" ht="49" customHeight="1" spans="1:14">
      <c r="A9" s="25">
        <v>5</v>
      </c>
      <c r="B9" s="31">
        <v>3</v>
      </c>
      <c r="C9" s="27" t="s">
        <v>33</v>
      </c>
      <c r="D9" s="28"/>
      <c r="E9" s="29" t="s">
        <v>34</v>
      </c>
      <c r="F9" s="29"/>
      <c r="G9" s="29"/>
      <c r="H9" s="30" t="s">
        <v>35</v>
      </c>
      <c r="I9" s="53"/>
      <c r="J9" s="25" t="s">
        <v>31</v>
      </c>
      <c r="K9" s="25"/>
      <c r="L9" s="54" t="s">
        <v>32</v>
      </c>
      <c r="M9" s="24"/>
      <c r="N9" s="58"/>
    </row>
    <row r="10" ht="49" customHeight="1" spans="1:14">
      <c r="A10" s="25">
        <v>6</v>
      </c>
      <c r="B10" s="31">
        <v>3</v>
      </c>
      <c r="C10" s="27" t="s">
        <v>36</v>
      </c>
      <c r="D10" s="28"/>
      <c r="E10" s="29" t="s">
        <v>37</v>
      </c>
      <c r="F10" s="29"/>
      <c r="G10" s="29"/>
      <c r="H10" s="30" t="s">
        <v>38</v>
      </c>
      <c r="I10" s="53"/>
      <c r="J10" s="25" t="s">
        <v>31</v>
      </c>
      <c r="K10" s="25"/>
      <c r="L10" s="54" t="s">
        <v>32</v>
      </c>
      <c r="M10" s="24"/>
      <c r="N10" s="58"/>
    </row>
    <row r="11" ht="67" customHeight="1" spans="1:14">
      <c r="A11" s="25">
        <v>7</v>
      </c>
      <c r="B11" s="31">
        <v>3</v>
      </c>
      <c r="C11" s="27" t="s">
        <v>39</v>
      </c>
      <c r="D11" s="28"/>
      <c r="E11" s="29" t="s">
        <v>40</v>
      </c>
      <c r="F11" s="29"/>
      <c r="G11" s="29"/>
      <c r="H11" s="30" t="s">
        <v>41</v>
      </c>
      <c r="I11" s="53"/>
      <c r="J11" s="25" t="s">
        <v>31</v>
      </c>
      <c r="K11" s="25"/>
      <c r="L11" s="54" t="s">
        <v>32</v>
      </c>
      <c r="M11" s="24"/>
      <c r="N11" s="58"/>
    </row>
    <row r="12" ht="49" customHeight="1" spans="1:14">
      <c r="A12" s="25">
        <v>8</v>
      </c>
      <c r="B12" s="31"/>
      <c r="C12" s="27"/>
      <c r="D12" s="28"/>
      <c r="E12" s="29"/>
      <c r="F12" s="29"/>
      <c r="G12" s="29"/>
      <c r="H12" s="30"/>
      <c r="I12" s="53"/>
      <c r="J12" s="25"/>
      <c r="K12" s="25"/>
      <c r="L12" s="54"/>
      <c r="M12" s="24"/>
      <c r="N12" s="58"/>
    </row>
    <row r="13" ht="49" customHeight="1" spans="1:14">
      <c r="A13" s="25">
        <v>9</v>
      </c>
      <c r="B13" s="31"/>
      <c r="C13" s="27"/>
      <c r="D13" s="28"/>
      <c r="E13" s="29"/>
      <c r="F13" s="29"/>
      <c r="G13" s="29"/>
      <c r="H13" s="30"/>
      <c r="I13" s="53"/>
      <c r="J13" s="25"/>
      <c r="K13" s="25"/>
      <c r="L13" s="54"/>
      <c r="M13" s="24"/>
      <c r="N13" s="58"/>
    </row>
    <row r="14" ht="49" customHeight="1" spans="1:14">
      <c r="A14" s="25">
        <v>10</v>
      </c>
      <c r="B14" s="31"/>
      <c r="C14" s="27"/>
      <c r="D14" s="28"/>
      <c r="E14" s="29"/>
      <c r="F14" s="29"/>
      <c r="G14" s="29"/>
      <c r="H14" s="30"/>
      <c r="I14" s="53"/>
      <c r="J14" s="25"/>
      <c r="K14" s="25"/>
      <c r="L14" s="54"/>
      <c r="M14" s="24"/>
      <c r="N14" s="58"/>
    </row>
    <row r="15" ht="49" customHeight="1" spans="1:14">
      <c r="A15" s="25">
        <v>11</v>
      </c>
      <c r="B15" s="31"/>
      <c r="C15" s="27"/>
      <c r="D15" s="28"/>
      <c r="E15" s="29"/>
      <c r="F15" s="29"/>
      <c r="G15" s="29"/>
      <c r="H15" s="30"/>
      <c r="I15" s="53"/>
      <c r="J15" s="25"/>
      <c r="K15" s="25"/>
      <c r="L15" s="54"/>
      <c r="M15" s="24"/>
      <c r="N15" s="58"/>
    </row>
    <row r="16" ht="49" customHeight="1" spans="1:14">
      <c r="A16" s="25">
        <v>12</v>
      </c>
      <c r="B16" s="31"/>
      <c r="C16" s="27"/>
      <c r="D16" s="28"/>
      <c r="E16" s="29"/>
      <c r="F16" s="29"/>
      <c r="G16" s="29"/>
      <c r="H16" s="30"/>
      <c r="I16" s="53"/>
      <c r="J16" s="25"/>
      <c r="K16" s="25"/>
      <c r="L16" s="54"/>
      <c r="M16" s="24"/>
      <c r="N16" s="58"/>
    </row>
    <row r="17" ht="49" customHeight="1" spans="1:14">
      <c r="A17" s="25">
        <v>13</v>
      </c>
      <c r="B17" s="31"/>
      <c r="C17" s="27"/>
      <c r="D17" s="28"/>
      <c r="E17" s="29"/>
      <c r="F17" s="29"/>
      <c r="G17" s="29"/>
      <c r="H17" s="30"/>
      <c r="I17" s="53"/>
      <c r="J17" s="25"/>
      <c r="K17" s="25"/>
      <c r="L17" s="54"/>
      <c r="M17" s="24"/>
      <c r="N17" s="58"/>
    </row>
    <row r="18" ht="49" customHeight="1" spans="1:14">
      <c r="A18" s="25">
        <v>14</v>
      </c>
      <c r="B18" s="31"/>
      <c r="C18" s="27"/>
      <c r="D18" s="28"/>
      <c r="E18" s="29"/>
      <c r="F18" s="29"/>
      <c r="G18" s="29"/>
      <c r="H18" s="30"/>
      <c r="I18" s="53"/>
      <c r="J18" s="25"/>
      <c r="K18" s="25"/>
      <c r="L18" s="54"/>
      <c r="M18" s="24"/>
      <c r="N18" s="58"/>
    </row>
    <row r="19" ht="49" customHeight="1" spans="1:14">
      <c r="A19" s="25">
        <v>15</v>
      </c>
      <c r="B19" s="31"/>
      <c r="C19" s="27"/>
      <c r="D19" s="28"/>
      <c r="E19" s="29"/>
      <c r="F19" s="29"/>
      <c r="G19" s="29"/>
      <c r="H19" s="30"/>
      <c r="I19" s="53"/>
      <c r="J19" s="25"/>
      <c r="K19" s="25"/>
      <c r="L19" s="54"/>
      <c r="M19" s="24"/>
      <c r="N19" s="58"/>
    </row>
    <row r="20" ht="49" customHeight="1" spans="1:14">
      <c r="A20" s="25">
        <v>16</v>
      </c>
      <c r="B20" s="31"/>
      <c r="C20" s="27"/>
      <c r="D20" s="28"/>
      <c r="E20" s="29"/>
      <c r="F20" s="29"/>
      <c r="G20" s="29"/>
      <c r="H20" s="30"/>
      <c r="I20" s="53"/>
      <c r="J20" s="25"/>
      <c r="K20" s="25"/>
      <c r="L20" s="54"/>
      <c r="M20" s="24"/>
      <c r="N20" s="58"/>
    </row>
    <row r="21" ht="49" customHeight="1" spans="1:14">
      <c r="A21" s="25">
        <v>17</v>
      </c>
      <c r="B21" s="31"/>
      <c r="C21" s="27"/>
      <c r="D21" s="28"/>
      <c r="E21" s="29"/>
      <c r="F21" s="29"/>
      <c r="G21" s="29"/>
      <c r="H21" s="30"/>
      <c r="I21" s="53"/>
      <c r="J21" s="25"/>
      <c r="K21" s="25"/>
      <c r="L21" s="54"/>
      <c r="M21" s="24"/>
      <c r="N21" s="58"/>
    </row>
    <row r="22" ht="49" customHeight="1" spans="1:14">
      <c r="A22" s="25">
        <v>18</v>
      </c>
      <c r="B22" s="31"/>
      <c r="C22" s="27"/>
      <c r="D22" s="28"/>
      <c r="E22" s="29"/>
      <c r="F22" s="29"/>
      <c r="G22" s="29"/>
      <c r="H22" s="30"/>
      <c r="I22" s="53"/>
      <c r="J22" s="25"/>
      <c r="K22" s="25"/>
      <c r="L22" s="54"/>
      <c r="M22" s="24"/>
      <c r="N22" s="58"/>
    </row>
    <row r="23" ht="49" customHeight="1" spans="1:14">
      <c r="A23" s="25">
        <v>19</v>
      </c>
      <c r="B23" s="31"/>
      <c r="C23" s="27"/>
      <c r="D23" s="28"/>
      <c r="E23" s="29"/>
      <c r="F23" s="29"/>
      <c r="G23" s="29"/>
      <c r="H23" s="30"/>
      <c r="I23" s="53"/>
      <c r="J23" s="25"/>
      <c r="K23" s="25"/>
      <c r="L23" s="54"/>
      <c r="M23" s="24"/>
      <c r="N23" s="58"/>
    </row>
    <row r="24" ht="49" customHeight="1" spans="1:14">
      <c r="A24" s="25">
        <v>20</v>
      </c>
      <c r="B24" s="32"/>
      <c r="C24" s="33"/>
      <c r="D24" s="33"/>
      <c r="E24" s="29"/>
      <c r="F24" s="29"/>
      <c r="G24" s="29"/>
      <c r="H24" s="30"/>
      <c r="I24" s="53"/>
      <c r="J24" s="25"/>
      <c r="K24" s="25"/>
      <c r="L24" s="54"/>
      <c r="M24" s="24"/>
      <c r="N24" s="59"/>
    </row>
    <row r="25" ht="49" customHeight="1" spans="1:14">
      <c r="A25" s="25">
        <v>21</v>
      </c>
      <c r="B25" s="32"/>
      <c r="C25" s="33"/>
      <c r="D25" s="33"/>
      <c r="E25" s="29"/>
      <c r="F25" s="29"/>
      <c r="G25" s="29"/>
      <c r="H25" s="30"/>
      <c r="I25" s="53"/>
      <c r="J25" s="25"/>
      <c r="K25" s="25"/>
      <c r="L25" s="54"/>
      <c r="M25" s="24"/>
      <c r="N25" s="60"/>
    </row>
    <row r="26" ht="49" customHeight="1" spans="1:14">
      <c r="A26" s="25">
        <v>22</v>
      </c>
      <c r="B26" s="32"/>
      <c r="C26" s="33"/>
      <c r="D26" s="33"/>
      <c r="E26" s="29"/>
      <c r="F26" s="29"/>
      <c r="G26" s="29"/>
      <c r="H26" s="30"/>
      <c r="I26" s="53"/>
      <c r="J26" s="25"/>
      <c r="K26" s="25"/>
      <c r="L26" s="54"/>
      <c r="M26" s="24"/>
      <c r="N26" s="61"/>
    </row>
    <row r="27" ht="49" customHeight="1" spans="1:14">
      <c r="A27" s="25">
        <v>23</v>
      </c>
      <c r="B27" s="34"/>
      <c r="C27" s="33"/>
      <c r="D27" s="33"/>
      <c r="E27" s="29"/>
      <c r="F27" s="29"/>
      <c r="G27" s="29"/>
      <c r="H27" s="30"/>
      <c r="I27" s="53"/>
      <c r="J27" s="25"/>
      <c r="K27" s="25"/>
      <c r="L27" s="54"/>
      <c r="M27" s="24"/>
      <c r="N27" s="59"/>
    </row>
    <row r="28" ht="49" customHeight="1" spans="1:14">
      <c r="A28" s="25">
        <v>24</v>
      </c>
      <c r="B28" s="34"/>
      <c r="C28" s="33"/>
      <c r="D28" s="33"/>
      <c r="E28" s="29"/>
      <c r="F28" s="29"/>
      <c r="G28" s="29"/>
      <c r="H28" s="30"/>
      <c r="I28" s="53"/>
      <c r="J28" s="25"/>
      <c r="K28" s="25"/>
      <c r="L28" s="54"/>
      <c r="M28" s="24"/>
      <c r="N28" s="59"/>
    </row>
    <row r="29" ht="49" customHeight="1" spans="1:14">
      <c r="A29" s="25">
        <v>25</v>
      </c>
      <c r="B29" s="34"/>
      <c r="C29" s="33"/>
      <c r="D29" s="33"/>
      <c r="E29" s="29"/>
      <c r="F29" s="29"/>
      <c r="G29" s="29"/>
      <c r="H29" s="30"/>
      <c r="I29" s="53"/>
      <c r="J29" s="25"/>
      <c r="K29" s="25"/>
      <c r="L29" s="54"/>
      <c r="M29" s="24"/>
      <c r="N29" s="60"/>
    </row>
    <row r="30" ht="49" customHeight="1" spans="1:14">
      <c r="A30" s="25">
        <v>26</v>
      </c>
      <c r="B30" s="34"/>
      <c r="C30" s="33"/>
      <c r="D30" s="33"/>
      <c r="E30" s="29"/>
      <c r="F30" s="29"/>
      <c r="G30" s="29"/>
      <c r="H30" s="30"/>
      <c r="I30" s="53"/>
      <c r="J30" s="25"/>
      <c r="K30" s="25"/>
      <c r="L30" s="54"/>
      <c r="M30" s="24"/>
      <c r="N30" s="59"/>
    </row>
    <row r="31" ht="49" customHeight="1" spans="1:14">
      <c r="A31" s="25">
        <v>27</v>
      </c>
      <c r="B31" s="34"/>
      <c r="C31" s="33"/>
      <c r="D31" s="33"/>
      <c r="E31" s="29"/>
      <c r="F31" s="29"/>
      <c r="G31" s="29"/>
      <c r="H31" s="30"/>
      <c r="I31" s="53"/>
      <c r="J31" s="25"/>
      <c r="K31" s="25"/>
      <c r="L31" s="54"/>
      <c r="M31" s="24"/>
      <c r="N31" s="59"/>
    </row>
    <row r="32" ht="49" customHeight="1" spans="1:14">
      <c r="A32" s="25">
        <v>28</v>
      </c>
      <c r="B32" s="34"/>
      <c r="C32" s="33"/>
      <c r="D32" s="33"/>
      <c r="E32" s="29"/>
      <c r="F32" s="29"/>
      <c r="G32" s="29"/>
      <c r="H32" s="30"/>
      <c r="I32" s="53"/>
      <c r="J32" s="25"/>
      <c r="K32" s="25"/>
      <c r="L32" s="54"/>
      <c r="M32" s="24"/>
      <c r="N32" s="59"/>
    </row>
    <row r="33" ht="49" customHeight="1" spans="1:14">
      <c r="A33" s="25">
        <v>29</v>
      </c>
      <c r="B33" s="34"/>
      <c r="C33" s="33"/>
      <c r="D33" s="33"/>
      <c r="E33" s="29"/>
      <c r="F33" s="29"/>
      <c r="G33" s="29"/>
      <c r="H33" s="30"/>
      <c r="I33" s="53"/>
      <c r="J33" s="25"/>
      <c r="K33" s="25"/>
      <c r="L33" s="54"/>
      <c r="M33" s="24"/>
      <c r="N33" s="59"/>
    </row>
    <row r="34" ht="49" customHeight="1" spans="1:14">
      <c r="A34" s="25">
        <v>30</v>
      </c>
      <c r="B34" s="34"/>
      <c r="C34" s="33"/>
      <c r="D34" s="33"/>
      <c r="E34" s="29"/>
      <c r="F34" s="29"/>
      <c r="G34" s="29"/>
      <c r="H34" s="30"/>
      <c r="I34" s="53"/>
      <c r="J34" s="25"/>
      <c r="K34" s="25"/>
      <c r="L34" s="54"/>
      <c r="M34" s="24"/>
      <c r="N34" s="59"/>
    </row>
    <row r="35" ht="49" customHeight="1" spans="1:14">
      <c r="A35" s="25">
        <v>31</v>
      </c>
      <c r="B35" s="34"/>
      <c r="C35" s="33"/>
      <c r="D35" s="33"/>
      <c r="E35" s="29"/>
      <c r="F35" s="29"/>
      <c r="G35" s="29"/>
      <c r="H35" s="30"/>
      <c r="I35" s="53"/>
      <c r="J35" s="25"/>
      <c r="K35" s="25"/>
      <c r="L35" s="54"/>
      <c r="M35" s="24"/>
      <c r="N35" s="59"/>
    </row>
    <row r="36" ht="49" customHeight="1" spans="1:14">
      <c r="A36" s="25">
        <v>32</v>
      </c>
      <c r="B36" s="34"/>
      <c r="C36" s="33"/>
      <c r="D36" s="33"/>
      <c r="E36" s="29"/>
      <c r="F36" s="29"/>
      <c r="G36" s="29"/>
      <c r="H36" s="30"/>
      <c r="I36" s="53"/>
      <c r="J36" s="25"/>
      <c r="K36" s="25"/>
      <c r="L36" s="54"/>
      <c r="M36" s="24"/>
      <c r="N36" s="59"/>
    </row>
    <row r="37" ht="49" customHeight="1" spans="1:14">
      <c r="A37" s="25">
        <v>33</v>
      </c>
      <c r="B37" s="34"/>
      <c r="C37" s="33"/>
      <c r="D37" s="33"/>
      <c r="E37" s="29"/>
      <c r="F37" s="29"/>
      <c r="G37" s="29"/>
      <c r="H37" s="30"/>
      <c r="I37" s="53"/>
      <c r="J37" s="25"/>
      <c r="K37" s="25"/>
      <c r="L37" s="54"/>
      <c r="M37" s="24"/>
      <c r="N37" s="59"/>
    </row>
    <row r="38" ht="49" customHeight="1" spans="1:14">
      <c r="A38" s="25">
        <v>34</v>
      </c>
      <c r="B38" s="34"/>
      <c r="C38" s="33"/>
      <c r="D38" s="33"/>
      <c r="E38" s="29"/>
      <c r="F38" s="29"/>
      <c r="G38" s="29"/>
      <c r="H38" s="30"/>
      <c r="I38" s="53"/>
      <c r="J38" s="25"/>
      <c r="K38" s="25"/>
      <c r="L38" s="54"/>
      <c r="M38" s="24"/>
      <c r="N38" s="59"/>
    </row>
    <row r="39" ht="49" customHeight="1" spans="1:14">
      <c r="A39" s="25">
        <v>35</v>
      </c>
      <c r="B39" s="34"/>
      <c r="C39" s="33"/>
      <c r="D39" s="33"/>
      <c r="E39" s="29"/>
      <c r="F39" s="29"/>
      <c r="G39" s="29"/>
      <c r="H39" s="30"/>
      <c r="I39" s="53"/>
      <c r="J39" s="25"/>
      <c r="K39" s="25"/>
      <c r="L39" s="54"/>
      <c r="M39" s="24"/>
      <c r="N39" s="60"/>
    </row>
    <row r="40" ht="49" customHeight="1" spans="1:14">
      <c r="A40" s="25">
        <v>36</v>
      </c>
      <c r="B40" s="32"/>
      <c r="C40" s="33"/>
      <c r="D40" s="33"/>
      <c r="E40" s="29"/>
      <c r="F40" s="29"/>
      <c r="G40" s="29"/>
      <c r="H40" s="30"/>
      <c r="I40" s="53"/>
      <c r="J40" s="25"/>
      <c r="K40" s="25"/>
      <c r="L40" s="62"/>
      <c r="M40" s="63"/>
      <c r="N40" s="60"/>
    </row>
    <row r="41" ht="49" customHeight="1" spans="1:14">
      <c r="A41" s="25">
        <v>37</v>
      </c>
      <c r="B41" s="32"/>
      <c r="C41" s="33"/>
      <c r="D41" s="33"/>
      <c r="E41" s="29"/>
      <c r="F41" s="29"/>
      <c r="G41" s="29"/>
      <c r="H41" s="35"/>
      <c r="I41" s="13"/>
      <c r="J41" s="22"/>
      <c r="K41" s="24"/>
      <c r="L41" s="62"/>
      <c r="M41" s="63"/>
      <c r="N41" s="59"/>
    </row>
    <row r="42" ht="49" customHeight="1" spans="1:14">
      <c r="A42" s="25">
        <v>38</v>
      </c>
      <c r="B42" s="32"/>
      <c r="C42" s="33"/>
      <c r="D42" s="33"/>
      <c r="E42" s="29"/>
      <c r="F42" s="29"/>
      <c r="G42" s="29"/>
      <c r="H42" s="30"/>
      <c r="I42" s="53"/>
      <c r="J42" s="25"/>
      <c r="K42" s="25"/>
      <c r="L42" s="62"/>
      <c r="M42" s="63"/>
      <c r="N42" s="59"/>
    </row>
    <row r="43" ht="49" customHeight="1" spans="1:14">
      <c r="A43" s="25">
        <v>39</v>
      </c>
      <c r="B43" s="26"/>
      <c r="C43" s="36"/>
      <c r="D43" s="37"/>
      <c r="E43" s="29"/>
      <c r="F43" s="29"/>
      <c r="G43" s="29"/>
      <c r="H43" s="30"/>
      <c r="I43" s="53"/>
      <c r="J43" s="25"/>
      <c r="K43" s="25"/>
      <c r="L43" s="62"/>
      <c r="M43" s="63"/>
      <c r="N43" s="59"/>
    </row>
    <row r="44" ht="49" customHeight="1" spans="1:14">
      <c r="A44" s="25">
        <v>40</v>
      </c>
      <c r="B44" s="26"/>
      <c r="C44" s="38"/>
      <c r="D44" s="39"/>
      <c r="E44" s="29"/>
      <c r="F44" s="29"/>
      <c r="G44" s="29"/>
      <c r="H44" s="30"/>
      <c r="I44" s="53"/>
      <c r="J44" s="25"/>
      <c r="K44" s="25"/>
      <c r="L44" s="62"/>
      <c r="M44" s="63"/>
      <c r="N44" s="59"/>
    </row>
    <row r="45" ht="35.15" customHeight="1" spans="1:18">
      <c r="A45" s="40" t="s">
        <v>42</v>
      </c>
      <c r="B45" s="41"/>
      <c r="C45" s="42" t="s">
        <v>43</v>
      </c>
      <c r="D45" s="42"/>
      <c r="E45" s="42"/>
      <c r="F45" s="42"/>
      <c r="G45" s="42"/>
      <c r="H45" s="42"/>
      <c r="I45" s="64" t="s">
        <v>44</v>
      </c>
      <c r="J45" s="65" t="s">
        <v>45</v>
      </c>
      <c r="K45" s="41"/>
      <c r="L45" s="66"/>
      <c r="M45" s="41"/>
      <c r="N45" s="41"/>
      <c r="O45" s="41"/>
      <c r="P45" s="41"/>
      <c r="Q45" s="41"/>
      <c r="R45" s="66"/>
    </row>
    <row r="46" ht="35.15" customHeight="1" spans="1:18">
      <c r="A46" s="43" t="s">
        <v>46</v>
      </c>
      <c r="B46" s="41"/>
      <c r="C46" s="42" t="s">
        <v>47</v>
      </c>
      <c r="D46" s="42"/>
      <c r="E46" s="42"/>
      <c r="F46" s="42"/>
      <c r="G46" s="42"/>
      <c r="H46" s="42"/>
      <c r="I46" s="64" t="s">
        <v>48</v>
      </c>
      <c r="J46" s="65" t="s">
        <v>49</v>
      </c>
      <c r="K46" s="41"/>
      <c r="L46" s="66"/>
      <c r="M46" s="41"/>
      <c r="N46" s="41"/>
      <c r="O46" s="41"/>
      <c r="P46" s="41"/>
      <c r="Q46" s="41"/>
      <c r="R46" s="66"/>
    </row>
    <row r="47" ht="35.15" customHeight="1" spans="1:18">
      <c r="A47" s="43" t="s">
        <v>50</v>
      </c>
      <c r="B47" s="41"/>
      <c r="C47" s="44" t="s">
        <v>51</v>
      </c>
      <c r="D47" s="44"/>
      <c r="E47" s="44"/>
      <c r="F47" s="44"/>
      <c r="G47" s="44"/>
      <c r="H47" s="44"/>
      <c r="I47" s="64" t="s">
        <v>52</v>
      </c>
      <c r="J47" s="67" t="s">
        <v>53</v>
      </c>
      <c r="K47" s="68"/>
      <c r="L47" s="69"/>
      <c r="M47" s="68"/>
      <c r="N47" s="68"/>
      <c r="O47" s="68"/>
      <c r="P47" s="68"/>
      <c r="Q47" s="68"/>
      <c r="R47" s="69"/>
    </row>
    <row r="48" ht="35.15" customHeight="1" spans="1:14">
      <c r="A48" s="43" t="s">
        <v>54</v>
      </c>
      <c r="B48" s="41"/>
      <c r="C48" s="43" t="str">
        <f>LEFT(J45,7)&amp;RIGHT(J45,7)&amp;"-"&amp;C47</f>
        <v>SHIEF162604001- GD7M0056</v>
      </c>
      <c r="D48" s="41"/>
      <c r="E48" s="43"/>
      <c r="F48" s="41"/>
      <c r="G48" s="41"/>
      <c r="H48" s="41"/>
      <c r="I48" s="64" t="s">
        <v>55</v>
      </c>
      <c r="J48" s="43" t="str">
        <f>LEFT(J46,4)&amp;RIGHT(J46,13)&amp;"-"&amp;J47</f>
        <v>SHIE2604001-02-15- GD7M0056-02</v>
      </c>
      <c r="K48" s="41"/>
      <c r="L48" s="41"/>
      <c r="M48" s="41"/>
      <c r="N48" s="66"/>
    </row>
    <row r="49" ht="35.15" customHeight="1" spans="1:14">
      <c r="A49" s="40" t="s">
        <v>56</v>
      </c>
      <c r="B49" s="45"/>
      <c r="C49" s="45"/>
      <c r="D49" s="45"/>
      <c r="E49" s="45"/>
      <c r="F49" s="46"/>
      <c r="G49" s="47" t="s">
        <v>57</v>
      </c>
      <c r="H49" s="47"/>
      <c r="I49" s="47"/>
      <c r="J49" s="47"/>
      <c r="K49" s="47"/>
      <c r="L49" s="47"/>
      <c r="M49" s="47"/>
      <c r="N49" s="47"/>
    </row>
    <row r="50" ht="35.15" customHeight="1" spans="1:14">
      <c r="A50" s="40" t="s">
        <v>58</v>
      </c>
      <c r="B50" s="45"/>
      <c r="C50" s="45"/>
      <c r="D50" s="45"/>
      <c r="E50" s="45"/>
      <c r="F50" s="46"/>
      <c r="G50" s="47"/>
      <c r="H50" s="47"/>
      <c r="I50" s="47"/>
      <c r="J50" s="47"/>
      <c r="K50" s="47"/>
      <c r="L50" s="47"/>
      <c r="M50" s="47"/>
      <c r="N50" s="47"/>
    </row>
  </sheetData>
  <mergeCells count="223">
    <mergeCell ref="A1:N1"/>
    <mergeCell ref="A2:L2"/>
    <mergeCell ref="M2:N2"/>
    <mergeCell ref="C4:D4"/>
    <mergeCell ref="E4:G4"/>
    <mergeCell ref="H4:I4"/>
    <mergeCell ref="J4:K4"/>
    <mergeCell ref="L4:M4"/>
    <mergeCell ref="C5:D5"/>
    <mergeCell ref="E5:G5"/>
    <mergeCell ref="H5:I5"/>
    <mergeCell ref="J5:K5"/>
    <mergeCell ref="L5:M5"/>
    <mergeCell ref="C6:D6"/>
    <mergeCell ref="E6:G6"/>
    <mergeCell ref="H6:I6"/>
    <mergeCell ref="J6:K6"/>
    <mergeCell ref="L6:M6"/>
    <mergeCell ref="C7:D7"/>
    <mergeCell ref="E7:G7"/>
    <mergeCell ref="H7:I7"/>
    <mergeCell ref="J7:K7"/>
    <mergeCell ref="L7:M7"/>
    <mergeCell ref="C8:D8"/>
    <mergeCell ref="E8:G8"/>
    <mergeCell ref="H8:I8"/>
    <mergeCell ref="J8:K8"/>
    <mergeCell ref="L8:M8"/>
    <mergeCell ref="C9:D9"/>
    <mergeCell ref="E9:G9"/>
    <mergeCell ref="H9:I9"/>
    <mergeCell ref="J9:K9"/>
    <mergeCell ref="L9:M9"/>
    <mergeCell ref="C10:D10"/>
    <mergeCell ref="E10:G10"/>
    <mergeCell ref="H10:I10"/>
    <mergeCell ref="J10:K10"/>
    <mergeCell ref="L10:M10"/>
    <mergeCell ref="C11:D11"/>
    <mergeCell ref="E11:G11"/>
    <mergeCell ref="H11:I11"/>
    <mergeCell ref="J11:K11"/>
    <mergeCell ref="L11:M11"/>
    <mergeCell ref="C12:D12"/>
    <mergeCell ref="E12:G12"/>
    <mergeCell ref="H12:I12"/>
    <mergeCell ref="J12:K12"/>
    <mergeCell ref="L12:M12"/>
    <mergeCell ref="C13:D13"/>
    <mergeCell ref="E13:G13"/>
    <mergeCell ref="H13:I13"/>
    <mergeCell ref="J13:K13"/>
    <mergeCell ref="L13:M13"/>
    <mergeCell ref="C14:D14"/>
    <mergeCell ref="E14:G14"/>
    <mergeCell ref="H14:I14"/>
    <mergeCell ref="J14:K14"/>
    <mergeCell ref="L14:M14"/>
    <mergeCell ref="C15:D15"/>
    <mergeCell ref="E15:G15"/>
    <mergeCell ref="H15:I15"/>
    <mergeCell ref="J15:K15"/>
    <mergeCell ref="L15:M15"/>
    <mergeCell ref="C16:D16"/>
    <mergeCell ref="E16:G16"/>
    <mergeCell ref="H16:I16"/>
    <mergeCell ref="J16:K16"/>
    <mergeCell ref="L16:M16"/>
    <mergeCell ref="C17:D17"/>
    <mergeCell ref="E17:G17"/>
    <mergeCell ref="H17:I17"/>
    <mergeCell ref="J17:K17"/>
    <mergeCell ref="L17:M17"/>
    <mergeCell ref="C18:D18"/>
    <mergeCell ref="E18:G18"/>
    <mergeCell ref="H18:I18"/>
    <mergeCell ref="J18:K18"/>
    <mergeCell ref="L18:M18"/>
    <mergeCell ref="C19:D19"/>
    <mergeCell ref="E19:G19"/>
    <mergeCell ref="H19:I19"/>
    <mergeCell ref="J19:K19"/>
    <mergeCell ref="L19:M19"/>
    <mergeCell ref="C20:D20"/>
    <mergeCell ref="E20:G20"/>
    <mergeCell ref="H20:I20"/>
    <mergeCell ref="J20:K20"/>
    <mergeCell ref="L20:M20"/>
    <mergeCell ref="C21:D21"/>
    <mergeCell ref="E21:G21"/>
    <mergeCell ref="H21:I21"/>
    <mergeCell ref="J21:K21"/>
    <mergeCell ref="L21:M21"/>
    <mergeCell ref="C22:D22"/>
    <mergeCell ref="E22:G22"/>
    <mergeCell ref="H22:I22"/>
    <mergeCell ref="J22:K22"/>
    <mergeCell ref="L22:M22"/>
    <mergeCell ref="C23:D23"/>
    <mergeCell ref="E23:G23"/>
    <mergeCell ref="H23:I23"/>
    <mergeCell ref="J23:K23"/>
    <mergeCell ref="L23:M23"/>
    <mergeCell ref="C24:D24"/>
    <mergeCell ref="E24:G24"/>
    <mergeCell ref="H24:I24"/>
    <mergeCell ref="J24:K24"/>
    <mergeCell ref="L24:M24"/>
    <mergeCell ref="C25:D25"/>
    <mergeCell ref="E25:G25"/>
    <mergeCell ref="H25:I25"/>
    <mergeCell ref="J25:K25"/>
    <mergeCell ref="L25:M25"/>
    <mergeCell ref="C26:D26"/>
    <mergeCell ref="E26:G26"/>
    <mergeCell ref="H26:I26"/>
    <mergeCell ref="J26:K26"/>
    <mergeCell ref="L26:M26"/>
    <mergeCell ref="C27:D27"/>
    <mergeCell ref="E27:G27"/>
    <mergeCell ref="H27:I27"/>
    <mergeCell ref="J27:K27"/>
    <mergeCell ref="L27:M27"/>
    <mergeCell ref="C28:D28"/>
    <mergeCell ref="E28:G28"/>
    <mergeCell ref="H28:I28"/>
    <mergeCell ref="J28:K28"/>
    <mergeCell ref="L28:M28"/>
    <mergeCell ref="C29:D29"/>
    <mergeCell ref="E29:G29"/>
    <mergeCell ref="H29:I29"/>
    <mergeCell ref="J29:K29"/>
    <mergeCell ref="L29:M29"/>
    <mergeCell ref="C30:D30"/>
    <mergeCell ref="E30:G30"/>
    <mergeCell ref="H30:I30"/>
    <mergeCell ref="J30:K30"/>
    <mergeCell ref="L30:M30"/>
    <mergeCell ref="C31:D31"/>
    <mergeCell ref="E31:G31"/>
    <mergeCell ref="H31:I31"/>
    <mergeCell ref="J31:K31"/>
    <mergeCell ref="L31:M31"/>
    <mergeCell ref="C32:D32"/>
    <mergeCell ref="E32:G32"/>
    <mergeCell ref="H32:I32"/>
    <mergeCell ref="J32:K32"/>
    <mergeCell ref="L32:M32"/>
    <mergeCell ref="C33:D33"/>
    <mergeCell ref="E33:G33"/>
    <mergeCell ref="H33:I33"/>
    <mergeCell ref="J33:K33"/>
    <mergeCell ref="L33:M33"/>
    <mergeCell ref="C34:D34"/>
    <mergeCell ref="E34:G34"/>
    <mergeCell ref="H34:I34"/>
    <mergeCell ref="J34:K34"/>
    <mergeCell ref="L34:M34"/>
    <mergeCell ref="C35:D35"/>
    <mergeCell ref="E35:G35"/>
    <mergeCell ref="H35:I35"/>
    <mergeCell ref="J35:K35"/>
    <mergeCell ref="L35:M35"/>
    <mergeCell ref="C36:D36"/>
    <mergeCell ref="E36:G36"/>
    <mergeCell ref="H36:I36"/>
    <mergeCell ref="J36:K36"/>
    <mergeCell ref="L36:M36"/>
    <mergeCell ref="C37:D37"/>
    <mergeCell ref="E37:G37"/>
    <mergeCell ref="H37:I37"/>
    <mergeCell ref="J37:K37"/>
    <mergeCell ref="L37:M37"/>
    <mergeCell ref="C38:D38"/>
    <mergeCell ref="E38:G38"/>
    <mergeCell ref="H38:I38"/>
    <mergeCell ref="J38:K38"/>
    <mergeCell ref="L38:M38"/>
    <mergeCell ref="C39:D39"/>
    <mergeCell ref="E39:G39"/>
    <mergeCell ref="H39:I39"/>
    <mergeCell ref="J39:K39"/>
    <mergeCell ref="L39:M39"/>
    <mergeCell ref="C40:D40"/>
    <mergeCell ref="E40:G40"/>
    <mergeCell ref="H40:I40"/>
    <mergeCell ref="J40:K40"/>
    <mergeCell ref="L40:M40"/>
    <mergeCell ref="C41:D41"/>
    <mergeCell ref="E41:G41"/>
    <mergeCell ref="H41:I41"/>
    <mergeCell ref="J41:K41"/>
    <mergeCell ref="L41:M41"/>
    <mergeCell ref="C42:D42"/>
    <mergeCell ref="E42:G42"/>
    <mergeCell ref="H42:I42"/>
    <mergeCell ref="J42:K42"/>
    <mergeCell ref="L42:M42"/>
    <mergeCell ref="C43:D43"/>
    <mergeCell ref="E43:G43"/>
    <mergeCell ref="H43:I43"/>
    <mergeCell ref="J43:K43"/>
    <mergeCell ref="L43:M43"/>
    <mergeCell ref="C44:D44"/>
    <mergeCell ref="E44:G44"/>
    <mergeCell ref="H44:I44"/>
    <mergeCell ref="J44:K44"/>
    <mergeCell ref="L44:M44"/>
    <mergeCell ref="A45:B45"/>
    <mergeCell ref="C45:H45"/>
    <mergeCell ref="J45:R45"/>
    <mergeCell ref="A46:B46"/>
    <mergeCell ref="C46:H46"/>
    <mergeCell ref="J46:R46"/>
    <mergeCell ref="A47:B47"/>
    <mergeCell ref="C47:H47"/>
    <mergeCell ref="J47:R47"/>
    <mergeCell ref="A48:B48"/>
    <mergeCell ref="C48:H48"/>
    <mergeCell ref="J48:N48"/>
    <mergeCell ref="A49:F49"/>
    <mergeCell ref="A50:F50"/>
    <mergeCell ref="G49:N50"/>
  </mergeCells>
  <printOptions horizontalCentered="1"/>
  <pageMargins left="0.707638888888889" right="0.707638888888889" top="0.747916666666667" bottom="0.275" header="0.313888888888889" footer="0.313888888888889"/>
  <pageSetup paperSize="8" scale="53" orientation="portrait"/>
  <headerFooter>
    <oddHeader>&amp;L&amp;G&amp;C&amp;"宋体,常规"&amp;16浙 江 三 花 汽 车 零 部 件 有 限 公 司&amp;R第&amp;P页 共2页</oddHead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opLeftCell="A7" workbookViewId="0">
      <selection activeCell="A14" sqref="A14"/>
    </sheetView>
  </sheetViews>
  <sheetFormatPr defaultColWidth="8.66666666666667" defaultRowHeight="14"/>
  <cols>
    <col min="1" max="1" width="65.0833333333333" customWidth="1"/>
    <col min="2" max="2" width="12.6666666666667" customWidth="1"/>
    <col min="7" max="7" width="22.9166666666667" customWidth="1"/>
    <col min="9" max="9" width="19.1666666666667" customWidth="1"/>
  </cols>
  <sheetData>
    <row r="1" ht="42" spans="1:9">
      <c r="A1" s="1" t="s">
        <v>59</v>
      </c>
      <c r="B1" s="2" t="s">
        <v>60</v>
      </c>
      <c r="C1" t="s">
        <v>61</v>
      </c>
      <c r="D1" s="3">
        <v>2</v>
      </c>
      <c r="E1" s="4" t="s">
        <v>62</v>
      </c>
      <c r="F1" t="s">
        <v>63</v>
      </c>
      <c r="G1" s="2" t="s">
        <v>64</v>
      </c>
      <c r="H1" s="5" t="s">
        <v>65</v>
      </c>
      <c r="I1" s="9">
        <v>9980000658009</v>
      </c>
    </row>
    <row r="2" ht="42" spans="1:9">
      <c r="A2" s="1" t="s">
        <v>66</v>
      </c>
      <c r="B2" s="2" t="s">
        <v>67</v>
      </c>
      <c r="C2" t="s">
        <v>61</v>
      </c>
      <c r="D2" s="3">
        <v>1</v>
      </c>
      <c r="E2" s="4" t="s">
        <v>68</v>
      </c>
      <c r="F2" t="s">
        <v>69</v>
      </c>
      <c r="G2" s="2" t="s">
        <v>70</v>
      </c>
      <c r="H2" s="5" t="s">
        <v>71</v>
      </c>
      <c r="I2" s="9">
        <v>9980000658010</v>
      </c>
    </row>
    <row r="3" ht="42" spans="1:9">
      <c r="A3" s="1" t="s">
        <v>72</v>
      </c>
      <c r="B3" s="2" t="s">
        <v>73</v>
      </c>
      <c r="C3" t="s">
        <v>61</v>
      </c>
      <c r="D3" s="3">
        <v>2</v>
      </c>
      <c r="E3" s="4" t="s">
        <v>74</v>
      </c>
      <c r="F3" t="s">
        <v>69</v>
      </c>
      <c r="G3" s="2" t="s">
        <v>75</v>
      </c>
      <c r="H3" s="5" t="s">
        <v>76</v>
      </c>
      <c r="I3" s="9">
        <v>9980000658011</v>
      </c>
    </row>
    <row r="4" ht="42" spans="1:9">
      <c r="A4" s="1" t="s">
        <v>77</v>
      </c>
      <c r="B4" s="2" t="s">
        <v>73</v>
      </c>
      <c r="C4" t="s">
        <v>61</v>
      </c>
      <c r="D4" s="3">
        <v>2</v>
      </c>
      <c r="E4" s="4" t="s">
        <v>74</v>
      </c>
      <c r="F4" t="s">
        <v>69</v>
      </c>
      <c r="G4" s="2" t="s">
        <v>78</v>
      </c>
      <c r="H4" s="5" t="s">
        <v>76</v>
      </c>
      <c r="I4" s="9">
        <v>9980000658014</v>
      </c>
    </row>
    <row r="5" ht="42" spans="1:9">
      <c r="A5" s="1" t="s">
        <v>79</v>
      </c>
      <c r="B5" s="2" t="s">
        <v>80</v>
      </c>
      <c r="C5" t="s">
        <v>61</v>
      </c>
      <c r="D5" s="3">
        <v>1</v>
      </c>
      <c r="E5" s="4" t="s">
        <v>74</v>
      </c>
      <c r="F5" t="s">
        <v>69</v>
      </c>
      <c r="G5" s="2" t="s">
        <v>81</v>
      </c>
      <c r="H5" s="5" t="s">
        <v>76</v>
      </c>
      <c r="I5" s="9">
        <v>9980000658016</v>
      </c>
    </row>
    <row r="6" ht="42" spans="1:9">
      <c r="A6" s="1" t="s">
        <v>82</v>
      </c>
      <c r="B6" s="2" t="s">
        <v>83</v>
      </c>
      <c r="C6" t="s">
        <v>61</v>
      </c>
      <c r="D6" s="3">
        <v>1</v>
      </c>
      <c r="E6" s="4" t="s">
        <v>74</v>
      </c>
      <c r="F6" t="s">
        <v>69</v>
      </c>
      <c r="G6" s="2" t="s">
        <v>84</v>
      </c>
      <c r="H6" s="5" t="s">
        <v>76</v>
      </c>
      <c r="I6" s="9">
        <v>9980000658017</v>
      </c>
    </row>
    <row r="7" ht="42" spans="1:9">
      <c r="A7" s="1" t="s">
        <v>85</v>
      </c>
      <c r="B7" s="2" t="s">
        <v>86</v>
      </c>
      <c r="C7" t="s">
        <v>61</v>
      </c>
      <c r="D7" s="3">
        <v>1</v>
      </c>
      <c r="E7" s="4" t="s">
        <v>74</v>
      </c>
      <c r="F7" t="s">
        <v>69</v>
      </c>
      <c r="G7" s="2" t="s">
        <v>87</v>
      </c>
      <c r="H7" s="5" t="s">
        <v>76</v>
      </c>
      <c r="I7" s="9">
        <v>9980000658018</v>
      </c>
    </row>
    <row r="8" ht="42" spans="1:9">
      <c r="A8" s="1" t="s">
        <v>88</v>
      </c>
      <c r="B8" s="2" t="s">
        <v>86</v>
      </c>
      <c r="C8" t="s">
        <v>61</v>
      </c>
      <c r="D8" s="3">
        <v>1</v>
      </c>
      <c r="E8" s="4" t="s">
        <v>74</v>
      </c>
      <c r="F8" t="s">
        <v>69</v>
      </c>
      <c r="G8" s="2" t="s">
        <v>89</v>
      </c>
      <c r="H8" s="5" t="s">
        <v>76</v>
      </c>
      <c r="I8" s="9">
        <v>9980000658019</v>
      </c>
    </row>
    <row r="9" ht="42" spans="1:9">
      <c r="A9" s="1" t="s">
        <v>90</v>
      </c>
      <c r="B9" s="2" t="s">
        <v>91</v>
      </c>
      <c r="C9" t="s">
        <v>61</v>
      </c>
      <c r="D9" s="3">
        <v>30</v>
      </c>
      <c r="E9" s="4" t="s">
        <v>74</v>
      </c>
      <c r="F9" t="s">
        <v>69</v>
      </c>
      <c r="G9" s="2" t="s">
        <v>92</v>
      </c>
      <c r="H9" s="5" t="s">
        <v>76</v>
      </c>
      <c r="I9" s="9">
        <v>9980000658021</v>
      </c>
    </row>
    <row r="10" ht="42" spans="1:9">
      <c r="A10" s="1" t="s">
        <v>93</v>
      </c>
      <c r="B10" s="2" t="s">
        <v>94</v>
      </c>
      <c r="C10" t="s">
        <v>61</v>
      </c>
      <c r="D10" s="3">
        <v>1</v>
      </c>
      <c r="E10" s="4" t="s">
        <v>74</v>
      </c>
      <c r="F10" t="s">
        <v>69</v>
      </c>
      <c r="G10" s="2" t="s">
        <v>95</v>
      </c>
      <c r="H10" s="5" t="s">
        <v>76</v>
      </c>
      <c r="I10" s="9">
        <v>9980000658022</v>
      </c>
    </row>
    <row r="11" ht="42" spans="1:9">
      <c r="A11" s="1" t="s">
        <v>96</v>
      </c>
      <c r="B11" s="2" t="s">
        <v>97</v>
      </c>
      <c r="C11" t="s">
        <v>61</v>
      </c>
      <c r="D11" s="3">
        <v>1</v>
      </c>
      <c r="E11" s="4" t="s">
        <v>74</v>
      </c>
      <c r="F11" t="s">
        <v>69</v>
      </c>
      <c r="G11" s="2" t="s">
        <v>98</v>
      </c>
      <c r="H11" s="5" t="s">
        <v>76</v>
      </c>
      <c r="I11" s="9">
        <v>9980000658023</v>
      </c>
    </row>
    <row r="12" ht="42" spans="1:9">
      <c r="A12" s="1" t="s">
        <v>99</v>
      </c>
      <c r="B12" s="2" t="s">
        <v>100</v>
      </c>
      <c r="C12" t="s">
        <v>61</v>
      </c>
      <c r="D12" s="3">
        <v>50</v>
      </c>
      <c r="E12" s="4" t="s">
        <v>74</v>
      </c>
      <c r="F12" t="s">
        <v>69</v>
      </c>
      <c r="G12" s="2" t="s">
        <v>101</v>
      </c>
      <c r="H12" s="5" t="s">
        <v>76</v>
      </c>
      <c r="I12" s="9">
        <v>9980000658024</v>
      </c>
    </row>
    <row r="13" ht="42" spans="1:9">
      <c r="A13" s="1" t="s">
        <v>102</v>
      </c>
      <c r="B13" s="2" t="s">
        <v>103</v>
      </c>
      <c r="C13" t="s">
        <v>61</v>
      </c>
      <c r="D13" s="3">
        <v>4</v>
      </c>
      <c r="E13" s="4" t="s">
        <v>74</v>
      </c>
      <c r="F13" t="s">
        <v>69</v>
      </c>
      <c r="G13" s="2" t="s">
        <v>104</v>
      </c>
      <c r="H13" s="5" t="s">
        <v>76</v>
      </c>
      <c r="I13" s="9">
        <v>9980000658026</v>
      </c>
    </row>
    <row r="14" ht="42" spans="1:9">
      <c r="A14" s="1" t="s">
        <v>105</v>
      </c>
      <c r="B14" s="2" t="s">
        <v>97</v>
      </c>
      <c r="C14" t="s">
        <v>61</v>
      </c>
      <c r="D14" s="3">
        <v>1</v>
      </c>
      <c r="E14" s="4" t="s">
        <v>74</v>
      </c>
      <c r="F14" t="s">
        <v>69</v>
      </c>
      <c r="G14" s="6" t="s">
        <v>106</v>
      </c>
      <c r="H14" s="5" t="s">
        <v>76</v>
      </c>
      <c r="I14" s="9">
        <v>9980000658030</v>
      </c>
    </row>
    <row r="15" spans="5:9">
      <c r="E15" s="4"/>
      <c r="F15"/>
      <c r="G15" s="7"/>
      <c r="H15" s="5"/>
      <c r="I15" s="10"/>
    </row>
    <row r="16" ht="38" customHeight="1" spans="1:9">
      <c r="A16" t="s">
        <v>107</v>
      </c>
      <c r="B16" s="8" t="s">
        <v>108</v>
      </c>
      <c r="C16" t="s">
        <v>61</v>
      </c>
      <c r="D16">
        <v>46</v>
      </c>
      <c r="E16" s="4" t="s">
        <v>74</v>
      </c>
      <c r="F16" t="s">
        <v>69</v>
      </c>
      <c r="G16" s="7" t="s">
        <v>109</v>
      </c>
      <c r="H16" s="5" t="s">
        <v>76</v>
      </c>
      <c r="I16" s="11">
        <v>9980000686348</v>
      </c>
    </row>
    <row r="17" ht="38" customHeight="1" spans="2:9">
      <c r="B17" s="8" t="s">
        <v>110</v>
      </c>
      <c r="C17" t="s">
        <v>61</v>
      </c>
      <c r="D17">
        <v>46</v>
      </c>
      <c r="E17" s="4" t="s">
        <v>74</v>
      </c>
      <c r="F17" t="s">
        <v>69</v>
      </c>
      <c r="G17" s="7" t="s">
        <v>111</v>
      </c>
      <c r="H17" s="5" t="s">
        <v>76</v>
      </c>
      <c r="I17" s="11">
        <v>9980000686350</v>
      </c>
    </row>
    <row r="18" ht="38" customHeight="1" spans="2:9">
      <c r="B18" s="8" t="s">
        <v>112</v>
      </c>
      <c r="C18" t="s">
        <v>61</v>
      </c>
      <c r="D18">
        <v>46</v>
      </c>
      <c r="E18" s="4" t="s">
        <v>74</v>
      </c>
      <c r="F18" t="s">
        <v>69</v>
      </c>
      <c r="G18" s="7" t="s">
        <v>113</v>
      </c>
      <c r="H18" s="5" t="s">
        <v>76</v>
      </c>
      <c r="I18" s="11">
        <v>9980000686353</v>
      </c>
    </row>
    <row r="19" ht="38" customHeight="1" spans="2:9">
      <c r="B19" s="8" t="s">
        <v>114</v>
      </c>
      <c r="C19" t="s">
        <v>61</v>
      </c>
      <c r="D19">
        <v>46</v>
      </c>
      <c r="E19" s="4" t="s">
        <v>74</v>
      </c>
      <c r="F19" t="s">
        <v>69</v>
      </c>
      <c r="G19" s="7" t="s">
        <v>115</v>
      </c>
      <c r="H19" s="5" t="s">
        <v>76</v>
      </c>
      <c r="I19" s="11">
        <v>9980000686355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技术变更通知单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&amp;逝、ヤ忆′</cp:lastModifiedBy>
  <dcterms:created xsi:type="dcterms:W3CDTF">2015-06-05T18:19:00Z</dcterms:created>
  <cp:lastPrinted>2024-03-29T07:52:00Z</cp:lastPrinted>
  <dcterms:modified xsi:type="dcterms:W3CDTF">2026-05-19T07:02:16Z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2ECEDDDDE1E5410281E36EC4CF8C5EFA_13</vt:lpwstr>
  </property>
</Properties>
</file>